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34D25AA5-D2E6-4F17-AACE-D38396C74B79}" xr6:coauthVersionLast="47" xr6:coauthVersionMax="47" xr10:uidLastSave="{00000000-0000-0000-0000-000000000000}"/>
  <bookViews>
    <workbookView xWindow="-108" yWindow="-108" windowWidth="23256" windowHeight="12456" tabRatio="951" activeTab="5" xr2:uid="{00000000-000D-0000-FFFF-FFFF00000000}"/>
  </bookViews>
  <sheets>
    <sheet name="ÖRNEK" sheetId="1" r:id="rId1"/>
    <sheet name="1" sheetId="32" r:id="rId2"/>
    <sheet name="2" sheetId="31" r:id="rId3"/>
    <sheet name="3" sheetId="30" r:id="rId4"/>
    <sheet name="4" sheetId="29" r:id="rId5"/>
    <sheet name="5" sheetId="28" r:id="rId6"/>
    <sheet name="6" sheetId="27" r:id="rId7"/>
    <sheet name="7" sheetId="26" r:id="rId8"/>
    <sheet name="8" sheetId="25" r:id="rId9"/>
    <sheet name="9" sheetId="24" r:id="rId10"/>
    <sheet name="10" sheetId="23" r:id="rId11"/>
    <sheet name="11" sheetId="22" r:id="rId12"/>
    <sheet name="12" sheetId="21" r:id="rId13"/>
    <sheet name="13" sheetId="20" r:id="rId14"/>
    <sheet name="14" sheetId="19" r:id="rId15"/>
    <sheet name="15" sheetId="18" r:id="rId16"/>
    <sheet name="16" sheetId="17" r:id="rId17"/>
    <sheet name="17" sheetId="16" r:id="rId18"/>
    <sheet name="18" sheetId="2" r:id="rId19"/>
    <sheet name="19" sheetId="15" r:id="rId20"/>
    <sheet name="20" sheetId="3" r:id="rId21"/>
    <sheet name="21" sheetId="4" r:id="rId22"/>
    <sheet name="22" sheetId="5" r:id="rId23"/>
    <sheet name="23" sheetId="6" r:id="rId24"/>
    <sheet name="24" sheetId="7" r:id="rId25"/>
    <sheet name="25" sheetId="8" r:id="rId26"/>
    <sheet name="26" sheetId="9" r:id="rId27"/>
    <sheet name="27" sheetId="10" r:id="rId28"/>
    <sheet name="28" sheetId="11" r:id="rId29"/>
    <sheet name="29" sheetId="12" r:id="rId30"/>
    <sheet name="30" sheetId="13" r:id="rId31"/>
    <sheet name="31" sheetId="14" r:id="rId32"/>
    <sheet name="GN TOPLAM" sheetId="33" r:id="rId33"/>
    <sheet name="KASA NAKİT ÇIKIŞLARI" sheetId="34" r:id="rId34"/>
    <sheet name="ORGANİZASYON BAZLI DEĞERLENDİRM" sheetId="36" r:id="rId35"/>
    <sheet name="SERVİS HAKEDİŞ TABLOSU" sheetId="37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_FilterDatabase" localSheetId="33" hidden="1">'KASA NAKİT ÇIKIŞLARI'!$A$2:$D$377</definedName>
    <definedName name="_xlnm.Print_Area" localSheetId="18">'18'!$A$1:$E$81</definedName>
    <definedName name="_xlnm.Print_Area" localSheetId="20">'20'!$A$1:$E$82</definedName>
    <definedName name="_xlnm.Print_Area" localSheetId="32">'GN TOPLAM'!$A$1:$Q$75</definedName>
    <definedName name="_xlnm.Print_Area" localSheetId="0">ÖRNEK!$A$1:$E$69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4" i="28" l="1"/>
  <c r="B78" i="28"/>
  <c r="B40" i="28"/>
  <c r="E40" i="28" s="1"/>
  <c r="A37" i="28"/>
  <c r="B39" i="28"/>
  <c r="E39" i="28" s="1"/>
  <c r="I81" i="28"/>
  <c r="I82" i="28" s="1"/>
  <c r="A78" i="28"/>
  <c r="B75" i="28"/>
  <c r="E41" i="28"/>
  <c r="D19" i="28"/>
  <c r="C37" i="28" s="1"/>
  <c r="D37" i="28" s="1"/>
  <c r="E37" i="28" s="1"/>
  <c r="F37" i="28" s="1"/>
  <c r="D12" i="28"/>
  <c r="C12" i="28"/>
  <c r="E2" i="28"/>
  <c r="B40" i="1"/>
  <c r="B39" i="1"/>
  <c r="A37" i="1"/>
  <c r="D34" i="28" l="1"/>
  <c r="B81" i="28"/>
  <c r="C81" i="28" s="1"/>
  <c r="E3" i="28"/>
  <c r="I81" i="1"/>
  <c r="I82" i="1" s="1"/>
  <c r="A78" i="1"/>
  <c r="B75" i="1"/>
  <c r="E41" i="1"/>
  <c r="E40" i="1"/>
  <c r="E39" i="1"/>
  <c r="D19" i="1"/>
  <c r="B78" i="1" s="1"/>
  <c r="D12" i="1"/>
  <c r="C12" i="1"/>
  <c r="E2" i="1"/>
  <c r="Q17" i="33"/>
  <c r="C37" i="32"/>
  <c r="D37" i="32"/>
  <c r="E37" i="32" s="1"/>
  <c r="E39" i="32"/>
  <c r="E40" i="32"/>
  <c r="C4" i="37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P37" i="33"/>
  <c r="O37" i="33"/>
  <c r="N37" i="33"/>
  <c r="M37" i="33"/>
  <c r="L37" i="33"/>
  <c r="K37" i="33"/>
  <c r="J37" i="33"/>
  <c r="I37" i="33"/>
  <c r="H37" i="33"/>
  <c r="G37" i="33"/>
  <c r="E37" i="33"/>
  <c r="D37" i="33"/>
  <c r="C37" i="33"/>
  <c r="B37" i="33"/>
  <c r="C405" i="34"/>
  <c r="B405" i="34"/>
  <c r="C404" i="34"/>
  <c r="B404" i="34"/>
  <c r="C403" i="34"/>
  <c r="B403" i="34"/>
  <c r="C402" i="34"/>
  <c r="B402" i="34"/>
  <c r="C401" i="34"/>
  <c r="B401" i="34"/>
  <c r="C400" i="34"/>
  <c r="B400" i="34"/>
  <c r="C399" i="34"/>
  <c r="B399" i="34"/>
  <c r="C398" i="34"/>
  <c r="B398" i="34"/>
  <c r="C397" i="34"/>
  <c r="B397" i="34"/>
  <c r="C396" i="34"/>
  <c r="B396" i="34"/>
  <c r="C395" i="34"/>
  <c r="B395" i="34"/>
  <c r="C394" i="34"/>
  <c r="B394" i="34"/>
  <c r="C393" i="34"/>
  <c r="B393" i="34"/>
  <c r="C392" i="34"/>
  <c r="B392" i="34"/>
  <c r="C391" i="34"/>
  <c r="B391" i="34"/>
  <c r="C390" i="34"/>
  <c r="B390" i="34"/>
  <c r="C389" i="34"/>
  <c r="B389" i="34"/>
  <c r="C388" i="34"/>
  <c r="B388" i="34"/>
  <c r="C387" i="34"/>
  <c r="B387" i="34"/>
  <c r="C386" i="34"/>
  <c r="B386" i="34"/>
  <c r="C385" i="34"/>
  <c r="B385" i="34"/>
  <c r="C384" i="34"/>
  <c r="B384" i="34"/>
  <c r="C383" i="34"/>
  <c r="B383" i="34"/>
  <c r="C382" i="34"/>
  <c r="B382" i="34"/>
  <c r="C381" i="34"/>
  <c r="B381" i="34"/>
  <c r="C380" i="34"/>
  <c r="B380" i="34"/>
  <c r="C379" i="34"/>
  <c r="B379" i="34"/>
  <c r="C378" i="34"/>
  <c r="B378" i="34"/>
  <c r="C377" i="34"/>
  <c r="B377" i="34"/>
  <c r="C376" i="34"/>
  <c r="B376" i="34"/>
  <c r="C375" i="34"/>
  <c r="B375" i="34"/>
  <c r="C374" i="34"/>
  <c r="B374" i="34"/>
  <c r="C373" i="34"/>
  <c r="B373" i="34"/>
  <c r="C372" i="34"/>
  <c r="B372" i="34"/>
  <c r="C371" i="34"/>
  <c r="B371" i="34"/>
  <c r="C370" i="34"/>
  <c r="B370" i="34"/>
  <c r="C369" i="34"/>
  <c r="B369" i="34"/>
  <c r="C368" i="34"/>
  <c r="B368" i="34"/>
  <c r="C367" i="34"/>
  <c r="B367" i="34"/>
  <c r="C366" i="34"/>
  <c r="B366" i="34"/>
  <c r="C365" i="34"/>
  <c r="B365" i="34"/>
  <c r="C364" i="34"/>
  <c r="B364" i="34"/>
  <c r="C363" i="34"/>
  <c r="B363" i="34"/>
  <c r="C362" i="34"/>
  <c r="B362" i="34"/>
  <c r="C361" i="34"/>
  <c r="B361" i="34"/>
  <c r="C360" i="34"/>
  <c r="B360" i="34"/>
  <c r="C359" i="34"/>
  <c r="B359" i="34"/>
  <c r="C358" i="34"/>
  <c r="B358" i="34"/>
  <c r="C357" i="34"/>
  <c r="B357" i="34"/>
  <c r="C356" i="34"/>
  <c r="B356" i="34"/>
  <c r="C355" i="34"/>
  <c r="B355" i="34"/>
  <c r="C354" i="34"/>
  <c r="B354" i="34"/>
  <c r="C353" i="34"/>
  <c r="B353" i="34"/>
  <c r="C352" i="34"/>
  <c r="B352" i="34"/>
  <c r="C351" i="34"/>
  <c r="B351" i="34"/>
  <c r="C350" i="34"/>
  <c r="B350" i="34"/>
  <c r="C349" i="34"/>
  <c r="B349" i="34"/>
  <c r="C348" i="34"/>
  <c r="B348" i="34"/>
  <c r="C347" i="34"/>
  <c r="B347" i="34"/>
  <c r="C346" i="34"/>
  <c r="B346" i="34"/>
  <c r="C345" i="34"/>
  <c r="B345" i="34"/>
  <c r="C344" i="34"/>
  <c r="B344" i="34"/>
  <c r="C343" i="34"/>
  <c r="B343" i="34"/>
  <c r="C342" i="34"/>
  <c r="B342" i="34"/>
  <c r="C341" i="34"/>
  <c r="B341" i="34"/>
  <c r="C340" i="34"/>
  <c r="B340" i="34"/>
  <c r="C339" i="34"/>
  <c r="B339" i="34"/>
  <c r="C338" i="34"/>
  <c r="B338" i="34"/>
  <c r="C337" i="34"/>
  <c r="B337" i="34"/>
  <c r="C336" i="34"/>
  <c r="B336" i="34"/>
  <c r="C335" i="34"/>
  <c r="B335" i="34"/>
  <c r="C334" i="34"/>
  <c r="B334" i="34"/>
  <c r="C333" i="34"/>
  <c r="B333" i="34"/>
  <c r="C332" i="34"/>
  <c r="B332" i="34"/>
  <c r="C331" i="34"/>
  <c r="B331" i="34"/>
  <c r="C330" i="34"/>
  <c r="B330" i="34"/>
  <c r="C329" i="34"/>
  <c r="B329" i="34"/>
  <c r="C328" i="34"/>
  <c r="B328" i="34"/>
  <c r="C327" i="34"/>
  <c r="B327" i="34"/>
  <c r="C326" i="34"/>
  <c r="B326" i="34"/>
  <c r="C325" i="34"/>
  <c r="B325" i="34"/>
  <c r="C324" i="34"/>
  <c r="B324" i="34"/>
  <c r="C323" i="34"/>
  <c r="B323" i="34"/>
  <c r="C322" i="34"/>
  <c r="B322" i="34"/>
  <c r="C321" i="34"/>
  <c r="B321" i="34"/>
  <c r="C320" i="34"/>
  <c r="B320" i="34"/>
  <c r="C319" i="34"/>
  <c r="B319" i="34"/>
  <c r="C318" i="34"/>
  <c r="B318" i="34"/>
  <c r="C317" i="34"/>
  <c r="B317" i="34"/>
  <c r="C316" i="34"/>
  <c r="B316" i="34"/>
  <c r="C315" i="34"/>
  <c r="B315" i="34"/>
  <c r="C314" i="34"/>
  <c r="B314" i="34"/>
  <c r="C313" i="34"/>
  <c r="B313" i="34"/>
  <c r="C312" i="34"/>
  <c r="B312" i="34"/>
  <c r="C311" i="34"/>
  <c r="B311" i="34"/>
  <c r="C310" i="34"/>
  <c r="B310" i="34"/>
  <c r="C309" i="34"/>
  <c r="B309" i="34"/>
  <c r="C308" i="34"/>
  <c r="B308" i="34"/>
  <c r="C307" i="34"/>
  <c r="B307" i="34"/>
  <c r="C306" i="34"/>
  <c r="B306" i="34"/>
  <c r="C305" i="34"/>
  <c r="B305" i="34"/>
  <c r="C304" i="34"/>
  <c r="B304" i="34"/>
  <c r="C303" i="34"/>
  <c r="B303" i="34"/>
  <c r="C302" i="34"/>
  <c r="B302" i="34"/>
  <c r="C301" i="34"/>
  <c r="B301" i="34"/>
  <c r="C300" i="34"/>
  <c r="B300" i="34"/>
  <c r="C299" i="34"/>
  <c r="B299" i="34"/>
  <c r="C298" i="34"/>
  <c r="B298" i="34"/>
  <c r="C297" i="34"/>
  <c r="B297" i="34"/>
  <c r="C296" i="34"/>
  <c r="B296" i="34"/>
  <c r="C295" i="34"/>
  <c r="B295" i="34"/>
  <c r="C294" i="34"/>
  <c r="B294" i="34"/>
  <c r="C293" i="34"/>
  <c r="B293" i="34"/>
  <c r="C292" i="34"/>
  <c r="B292" i="34"/>
  <c r="C291" i="34"/>
  <c r="B291" i="34"/>
  <c r="C290" i="34"/>
  <c r="B290" i="34"/>
  <c r="C289" i="34"/>
  <c r="B289" i="34"/>
  <c r="C288" i="34"/>
  <c r="B288" i="34"/>
  <c r="C287" i="34"/>
  <c r="B287" i="34"/>
  <c r="C286" i="34"/>
  <c r="B286" i="34"/>
  <c r="C285" i="34"/>
  <c r="B285" i="34"/>
  <c r="C284" i="34"/>
  <c r="B284" i="34"/>
  <c r="C283" i="34"/>
  <c r="B283" i="34"/>
  <c r="C282" i="34"/>
  <c r="B282" i="34"/>
  <c r="C281" i="34"/>
  <c r="B281" i="34"/>
  <c r="C280" i="34"/>
  <c r="B280" i="34"/>
  <c r="C279" i="34"/>
  <c r="B279" i="34"/>
  <c r="C278" i="34"/>
  <c r="B278" i="34"/>
  <c r="C277" i="34"/>
  <c r="B277" i="34"/>
  <c r="C276" i="34"/>
  <c r="B276" i="34"/>
  <c r="C275" i="34"/>
  <c r="B275" i="34"/>
  <c r="C274" i="34"/>
  <c r="B274" i="34"/>
  <c r="C273" i="34"/>
  <c r="B273" i="34"/>
  <c r="C272" i="34"/>
  <c r="B272" i="34"/>
  <c r="C271" i="34"/>
  <c r="B271" i="34"/>
  <c r="C270" i="34"/>
  <c r="B270" i="34"/>
  <c r="C269" i="34"/>
  <c r="B269" i="34"/>
  <c r="C268" i="34"/>
  <c r="B268" i="34"/>
  <c r="C267" i="34"/>
  <c r="B267" i="34"/>
  <c r="C266" i="34"/>
  <c r="B266" i="34"/>
  <c r="C265" i="34"/>
  <c r="B265" i="34"/>
  <c r="C264" i="34"/>
  <c r="B264" i="34"/>
  <c r="C263" i="34"/>
  <c r="B263" i="34"/>
  <c r="C262" i="34"/>
  <c r="B262" i="34"/>
  <c r="C261" i="34"/>
  <c r="B261" i="34"/>
  <c r="C260" i="34"/>
  <c r="B260" i="34"/>
  <c r="C259" i="34"/>
  <c r="B259" i="34"/>
  <c r="C258" i="34"/>
  <c r="B258" i="34"/>
  <c r="C257" i="34"/>
  <c r="B257" i="34"/>
  <c r="C256" i="34"/>
  <c r="B256" i="34"/>
  <c r="C255" i="34"/>
  <c r="B255" i="34"/>
  <c r="C254" i="34"/>
  <c r="B254" i="34"/>
  <c r="C253" i="34"/>
  <c r="B253" i="34"/>
  <c r="C252" i="34"/>
  <c r="B252" i="34"/>
  <c r="C251" i="34"/>
  <c r="B251" i="34"/>
  <c r="C250" i="34"/>
  <c r="B250" i="34"/>
  <c r="C249" i="34"/>
  <c r="B249" i="34"/>
  <c r="C248" i="34"/>
  <c r="B248" i="34"/>
  <c r="C247" i="34"/>
  <c r="B247" i="34"/>
  <c r="C246" i="34"/>
  <c r="B246" i="34"/>
  <c r="C245" i="34"/>
  <c r="B245" i="34"/>
  <c r="C244" i="34"/>
  <c r="B244" i="34"/>
  <c r="C243" i="34"/>
  <c r="B243" i="34"/>
  <c r="C242" i="34"/>
  <c r="B242" i="34"/>
  <c r="C241" i="34"/>
  <c r="B241" i="34"/>
  <c r="C240" i="34"/>
  <c r="B240" i="34"/>
  <c r="C239" i="34"/>
  <c r="B239" i="34"/>
  <c r="C238" i="34"/>
  <c r="B238" i="34"/>
  <c r="C237" i="34"/>
  <c r="B237" i="34"/>
  <c r="C236" i="34"/>
  <c r="B236" i="34"/>
  <c r="C235" i="34"/>
  <c r="B235" i="34"/>
  <c r="C234" i="34"/>
  <c r="B234" i="34"/>
  <c r="C233" i="34"/>
  <c r="B233" i="34"/>
  <c r="C232" i="34"/>
  <c r="B232" i="34"/>
  <c r="C231" i="34"/>
  <c r="B231" i="34"/>
  <c r="C230" i="34"/>
  <c r="B230" i="34"/>
  <c r="C229" i="34"/>
  <c r="B229" i="34"/>
  <c r="C228" i="34"/>
  <c r="B228" i="34"/>
  <c r="C227" i="34"/>
  <c r="B227" i="34"/>
  <c r="C226" i="34"/>
  <c r="B226" i="34"/>
  <c r="C225" i="34"/>
  <c r="B225" i="34"/>
  <c r="C224" i="34"/>
  <c r="B224" i="34"/>
  <c r="C223" i="34"/>
  <c r="B223" i="34"/>
  <c r="C222" i="34"/>
  <c r="B222" i="34"/>
  <c r="C221" i="34"/>
  <c r="B221" i="34"/>
  <c r="C220" i="34"/>
  <c r="B220" i="34"/>
  <c r="C219" i="34"/>
  <c r="B219" i="34"/>
  <c r="C218" i="34"/>
  <c r="B218" i="34"/>
  <c r="C217" i="34"/>
  <c r="B217" i="34"/>
  <c r="C216" i="34"/>
  <c r="B216" i="34"/>
  <c r="C215" i="34"/>
  <c r="B215" i="34"/>
  <c r="C214" i="34"/>
  <c r="B214" i="34"/>
  <c r="C213" i="34"/>
  <c r="B213" i="34"/>
  <c r="C212" i="34"/>
  <c r="B212" i="34"/>
  <c r="C211" i="34"/>
  <c r="B211" i="34"/>
  <c r="C210" i="34"/>
  <c r="B210" i="34"/>
  <c r="C209" i="34"/>
  <c r="B209" i="34"/>
  <c r="C208" i="34"/>
  <c r="B208" i="34"/>
  <c r="C207" i="34"/>
  <c r="B207" i="34"/>
  <c r="C206" i="34"/>
  <c r="B206" i="34"/>
  <c r="C205" i="34"/>
  <c r="B205" i="34"/>
  <c r="C204" i="34"/>
  <c r="B204" i="34"/>
  <c r="C203" i="34"/>
  <c r="B203" i="34"/>
  <c r="C202" i="34"/>
  <c r="B202" i="34"/>
  <c r="C201" i="34"/>
  <c r="B201" i="34"/>
  <c r="C200" i="34"/>
  <c r="B200" i="34"/>
  <c r="C199" i="34"/>
  <c r="B199" i="34"/>
  <c r="C198" i="34"/>
  <c r="B198" i="34"/>
  <c r="C197" i="34"/>
  <c r="B197" i="34"/>
  <c r="C196" i="34"/>
  <c r="B196" i="34"/>
  <c r="C195" i="34"/>
  <c r="B195" i="34"/>
  <c r="C194" i="34"/>
  <c r="B194" i="34"/>
  <c r="C193" i="34"/>
  <c r="B193" i="34"/>
  <c r="C192" i="34"/>
  <c r="B192" i="34"/>
  <c r="C191" i="34"/>
  <c r="B191" i="34"/>
  <c r="C190" i="34"/>
  <c r="B190" i="34"/>
  <c r="C189" i="34"/>
  <c r="B189" i="34"/>
  <c r="C188" i="34"/>
  <c r="B188" i="34"/>
  <c r="C187" i="34"/>
  <c r="B187" i="34"/>
  <c r="C186" i="34"/>
  <c r="B186" i="34"/>
  <c r="C185" i="34"/>
  <c r="B185" i="34"/>
  <c r="C184" i="34"/>
  <c r="B184" i="34"/>
  <c r="C183" i="34"/>
  <c r="B183" i="34"/>
  <c r="C182" i="34"/>
  <c r="B182" i="34"/>
  <c r="C181" i="34"/>
  <c r="B181" i="34"/>
  <c r="C180" i="34"/>
  <c r="B180" i="34"/>
  <c r="C179" i="34"/>
  <c r="B179" i="34"/>
  <c r="C178" i="34"/>
  <c r="B178" i="34"/>
  <c r="C177" i="34"/>
  <c r="B177" i="34"/>
  <c r="C176" i="34"/>
  <c r="B176" i="34"/>
  <c r="C175" i="34"/>
  <c r="B175" i="34"/>
  <c r="C174" i="34"/>
  <c r="B174" i="34"/>
  <c r="C173" i="34"/>
  <c r="B173" i="34"/>
  <c r="C172" i="34"/>
  <c r="B172" i="34"/>
  <c r="C171" i="34"/>
  <c r="B171" i="34"/>
  <c r="C170" i="34"/>
  <c r="B170" i="34"/>
  <c r="C169" i="34"/>
  <c r="B169" i="34"/>
  <c r="C168" i="34"/>
  <c r="B168" i="34"/>
  <c r="C167" i="34"/>
  <c r="B167" i="34"/>
  <c r="C166" i="34"/>
  <c r="B166" i="34"/>
  <c r="C165" i="34"/>
  <c r="B165" i="34"/>
  <c r="C164" i="34"/>
  <c r="B164" i="34"/>
  <c r="C163" i="34"/>
  <c r="B163" i="34"/>
  <c r="C162" i="34"/>
  <c r="B162" i="34"/>
  <c r="C161" i="34"/>
  <c r="B161" i="34"/>
  <c r="C160" i="34"/>
  <c r="B160" i="34"/>
  <c r="C159" i="34"/>
  <c r="B159" i="34"/>
  <c r="C158" i="34"/>
  <c r="B158" i="34"/>
  <c r="C157" i="34"/>
  <c r="B157" i="34"/>
  <c r="C156" i="34"/>
  <c r="B156" i="34"/>
  <c r="C155" i="34"/>
  <c r="B155" i="34"/>
  <c r="C154" i="34"/>
  <c r="B154" i="34"/>
  <c r="C153" i="34"/>
  <c r="B153" i="34"/>
  <c r="C152" i="34"/>
  <c r="B152" i="34"/>
  <c r="C151" i="34"/>
  <c r="B151" i="34"/>
  <c r="C150" i="34"/>
  <c r="B150" i="34"/>
  <c r="C149" i="34"/>
  <c r="B149" i="34"/>
  <c r="C148" i="34"/>
  <c r="B148" i="34"/>
  <c r="C147" i="34"/>
  <c r="B147" i="34"/>
  <c r="C146" i="34"/>
  <c r="B146" i="34"/>
  <c r="C145" i="34"/>
  <c r="B145" i="34"/>
  <c r="C144" i="34"/>
  <c r="B144" i="34"/>
  <c r="C143" i="34"/>
  <c r="B143" i="34"/>
  <c r="C142" i="34"/>
  <c r="B142" i="34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81" i="34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A15" i="34"/>
  <c r="C14" i="34"/>
  <c r="B14" i="34"/>
  <c r="A14" i="34"/>
  <c r="C13" i="34"/>
  <c r="B13" i="34"/>
  <c r="A13" i="34"/>
  <c r="C12" i="34"/>
  <c r="B12" i="34"/>
  <c r="A12" i="34"/>
  <c r="C11" i="34"/>
  <c r="B11" i="34"/>
  <c r="A11" i="34"/>
  <c r="C10" i="34"/>
  <c r="B10" i="34"/>
  <c r="A10" i="34"/>
  <c r="C9" i="34"/>
  <c r="B9" i="34"/>
  <c r="A9" i="34"/>
  <c r="C8" i="34"/>
  <c r="B8" i="34"/>
  <c r="A8" i="34"/>
  <c r="C7" i="34"/>
  <c r="B7" i="34"/>
  <c r="A7" i="34"/>
  <c r="C6" i="34"/>
  <c r="B6" i="34"/>
  <c r="A6" i="34"/>
  <c r="C5" i="34"/>
  <c r="B5" i="34"/>
  <c r="A5" i="34"/>
  <c r="C4" i="34"/>
  <c r="B4" i="34"/>
  <c r="A4" i="34"/>
  <c r="C3" i="34"/>
  <c r="B3" i="34"/>
  <c r="A3" i="34"/>
  <c r="B34" i="37"/>
  <c r="B33" i="37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D20" i="37" s="1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B6" i="37"/>
  <c r="B5" i="37"/>
  <c r="B4" i="37"/>
  <c r="A4" i="37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C21" i="37"/>
  <c r="C22" i="37" s="1"/>
  <c r="C23" i="37" s="1"/>
  <c r="C15" i="37"/>
  <c r="C16" i="37" s="1"/>
  <c r="C17" i="37" s="1"/>
  <c r="C18" i="37" s="1"/>
  <c r="C19" i="37" s="1"/>
  <c r="M3" i="37"/>
  <c r="B78" i="32"/>
  <c r="B78" i="30"/>
  <c r="B78" i="26"/>
  <c r="B78" i="23"/>
  <c r="B78" i="22"/>
  <c r="B78" i="20"/>
  <c r="B78" i="19"/>
  <c r="D12" i="19"/>
  <c r="C12" i="19"/>
  <c r="B78" i="2"/>
  <c r="B78" i="15"/>
  <c r="B78" i="3"/>
  <c r="B78" i="5"/>
  <c r="C77" i="5"/>
  <c r="I81" i="5"/>
  <c r="I82" i="5" s="1"/>
  <c r="A78" i="5"/>
  <c r="B75" i="5"/>
  <c r="E41" i="5"/>
  <c r="D19" i="5"/>
  <c r="D12" i="5"/>
  <c r="E2" i="5" s="1"/>
  <c r="C12" i="5"/>
  <c r="I81" i="4"/>
  <c r="I82" i="4" s="1"/>
  <c r="A78" i="4"/>
  <c r="B75" i="4"/>
  <c r="E41" i="4"/>
  <c r="C37" i="4"/>
  <c r="D19" i="4"/>
  <c r="D34" i="4" s="1"/>
  <c r="D12" i="4"/>
  <c r="C12" i="4"/>
  <c r="E2" i="4"/>
  <c r="I81" i="3"/>
  <c r="I82" i="3" s="1"/>
  <c r="A78" i="3"/>
  <c r="B75" i="3"/>
  <c r="E41" i="3"/>
  <c r="C37" i="3"/>
  <c r="D19" i="3"/>
  <c r="D34" i="3" s="1"/>
  <c r="D12" i="3"/>
  <c r="C12" i="3"/>
  <c r="E2" i="3"/>
  <c r="E3" i="3" s="1"/>
  <c r="I81" i="15"/>
  <c r="I82" i="15" s="1"/>
  <c r="A78" i="15"/>
  <c r="B75" i="15"/>
  <c r="E41" i="15"/>
  <c r="D19" i="15"/>
  <c r="C37" i="15" s="1"/>
  <c r="D12" i="15"/>
  <c r="C12" i="15"/>
  <c r="E2" i="15"/>
  <c r="C77" i="2"/>
  <c r="I81" i="2"/>
  <c r="A78" i="2"/>
  <c r="B75" i="2"/>
  <c r="E41" i="2"/>
  <c r="C37" i="2"/>
  <c r="D19" i="2"/>
  <c r="D34" i="2" s="1"/>
  <c r="D12" i="2"/>
  <c r="C12" i="2"/>
  <c r="E2" i="2"/>
  <c r="C77" i="16"/>
  <c r="B75" i="16"/>
  <c r="I81" i="16"/>
  <c r="A78" i="16"/>
  <c r="E41" i="16"/>
  <c r="I82" i="16" s="1"/>
  <c r="D19" i="16"/>
  <c r="D34" i="16" s="1"/>
  <c r="D12" i="16"/>
  <c r="E2" i="16" s="1"/>
  <c r="C12" i="16"/>
  <c r="I81" i="17"/>
  <c r="A78" i="17"/>
  <c r="B75" i="17"/>
  <c r="E41" i="17"/>
  <c r="C37" i="17"/>
  <c r="D19" i="17"/>
  <c r="D34" i="17" s="1"/>
  <c r="D12" i="17"/>
  <c r="C12" i="17"/>
  <c r="E2" i="17"/>
  <c r="E3" i="17" s="1"/>
  <c r="I81" i="18"/>
  <c r="A78" i="18"/>
  <c r="B75" i="18"/>
  <c r="E41" i="18"/>
  <c r="D19" i="18"/>
  <c r="C37" i="18" s="1"/>
  <c r="D12" i="18"/>
  <c r="C12" i="18"/>
  <c r="E2" i="18"/>
  <c r="I81" i="19"/>
  <c r="I82" i="19" s="1"/>
  <c r="A78" i="19"/>
  <c r="B75" i="19"/>
  <c r="E41" i="19"/>
  <c r="D19" i="19"/>
  <c r="C37" i="19" s="1"/>
  <c r="E2" i="19"/>
  <c r="E3" i="19" s="1"/>
  <c r="I81" i="20"/>
  <c r="I82" i="20" s="1"/>
  <c r="A78" i="20"/>
  <c r="B75" i="20"/>
  <c r="E41" i="20"/>
  <c r="D19" i="20"/>
  <c r="D34" i="20" s="1"/>
  <c r="D12" i="20"/>
  <c r="E2" i="20" s="1"/>
  <c r="C12" i="20"/>
  <c r="I81" i="22"/>
  <c r="I82" i="22" s="1"/>
  <c r="A78" i="22"/>
  <c r="B75" i="22"/>
  <c r="E41" i="22"/>
  <c r="D19" i="22"/>
  <c r="D12" i="22"/>
  <c r="C12" i="22"/>
  <c r="E2" i="22"/>
  <c r="E3" i="22" s="1"/>
  <c r="I81" i="23"/>
  <c r="A78" i="23"/>
  <c r="B75" i="23"/>
  <c r="E41" i="23"/>
  <c r="D19" i="23"/>
  <c r="D34" i="23" s="1"/>
  <c r="D12" i="23"/>
  <c r="E2" i="23" s="1"/>
  <c r="C12" i="23"/>
  <c r="C406" i="34" l="1"/>
  <c r="C81" i="1"/>
  <c r="B81" i="1"/>
  <c r="D34" i="1"/>
  <c r="C37" i="1"/>
  <c r="D37" i="1" s="1"/>
  <c r="E37" i="1" s="1"/>
  <c r="F37" i="1" s="1"/>
  <c r="E3" i="1"/>
  <c r="D22" i="37"/>
  <c r="D19" i="37"/>
  <c r="I19" i="37" s="1"/>
  <c r="C413" i="34"/>
  <c r="C24" i="37"/>
  <c r="C25" i="37" s="1"/>
  <c r="D23" i="37"/>
  <c r="D4" i="37"/>
  <c r="C5" i="37"/>
  <c r="C6" i="37" s="1"/>
  <c r="C7" i="37" s="1"/>
  <c r="C8" i="37" s="1"/>
  <c r="C9" i="37" s="1"/>
  <c r="C10" i="37" s="1"/>
  <c r="F22" i="37"/>
  <c r="H22" i="37"/>
  <c r="L22" i="37"/>
  <c r="G22" i="37"/>
  <c r="I22" i="37"/>
  <c r="E22" i="37"/>
  <c r="H19" i="37"/>
  <c r="G19" i="37"/>
  <c r="D17" i="37"/>
  <c r="D18" i="37"/>
  <c r="L20" i="37"/>
  <c r="I20" i="37"/>
  <c r="H20" i="37"/>
  <c r="G20" i="37"/>
  <c r="F20" i="37"/>
  <c r="E20" i="37"/>
  <c r="D16" i="37"/>
  <c r="B35" i="37"/>
  <c r="D15" i="37"/>
  <c r="D14" i="37"/>
  <c r="D21" i="37"/>
  <c r="C37" i="22"/>
  <c r="C37" i="20"/>
  <c r="B81" i="20"/>
  <c r="C81" i="20" s="1"/>
  <c r="B78" i="17"/>
  <c r="B81" i="17" s="1"/>
  <c r="C81" i="17" s="1"/>
  <c r="C37" i="16"/>
  <c r="B78" i="16"/>
  <c r="I82" i="2"/>
  <c r="D34" i="5"/>
  <c r="C37" i="5"/>
  <c r="B81" i="5"/>
  <c r="C81" i="5" s="1"/>
  <c r="E3" i="5"/>
  <c r="E3" i="4"/>
  <c r="B78" i="4"/>
  <c r="B81" i="4" s="1"/>
  <c r="C81" i="4" s="1"/>
  <c r="B81" i="3"/>
  <c r="C81" i="3" s="1"/>
  <c r="E3" i="15"/>
  <c r="B81" i="15"/>
  <c r="C81" i="15" s="1"/>
  <c r="D34" i="15"/>
  <c r="E3" i="2"/>
  <c r="B81" i="2"/>
  <c r="C81" i="2" s="1"/>
  <c r="E3" i="16"/>
  <c r="B81" i="16"/>
  <c r="C81" i="16" s="1"/>
  <c r="I82" i="17"/>
  <c r="I82" i="18"/>
  <c r="E3" i="18"/>
  <c r="B78" i="18"/>
  <c r="B81" i="18" s="1"/>
  <c r="C81" i="18" s="1"/>
  <c r="D34" i="18"/>
  <c r="D34" i="19"/>
  <c r="B81" i="19"/>
  <c r="C81" i="19" s="1"/>
  <c r="E3" i="20"/>
  <c r="B81" i="22"/>
  <c r="C81" i="22" s="1"/>
  <c r="D34" i="22"/>
  <c r="C37" i="23"/>
  <c r="I82" i="23"/>
  <c r="B81" i="23"/>
  <c r="C81" i="23" s="1"/>
  <c r="E3" i="23"/>
  <c r="D24" i="37" l="1"/>
  <c r="L19" i="37"/>
  <c r="E19" i="37"/>
  <c r="F19" i="37"/>
  <c r="D8" i="37"/>
  <c r="H8" i="37" s="1"/>
  <c r="D5" i="37"/>
  <c r="H5" i="37" s="1"/>
  <c r="D9" i="37"/>
  <c r="E9" i="37" s="1"/>
  <c r="H17" i="37"/>
  <c r="E17" i="37"/>
  <c r="F17" i="37"/>
  <c r="L17" i="37"/>
  <c r="G17" i="37"/>
  <c r="I17" i="37"/>
  <c r="M20" i="37"/>
  <c r="N20" i="37" s="1"/>
  <c r="L8" i="37"/>
  <c r="I8" i="37"/>
  <c r="I5" i="37"/>
  <c r="F5" i="37"/>
  <c r="G5" i="37"/>
  <c r="E5" i="37"/>
  <c r="L5" i="37"/>
  <c r="E21" i="37"/>
  <c r="I21" i="37"/>
  <c r="L21" i="37"/>
  <c r="H21" i="37"/>
  <c r="G21" i="37"/>
  <c r="F21" i="37"/>
  <c r="G16" i="37"/>
  <c r="H16" i="37"/>
  <c r="I16" i="37"/>
  <c r="L16" i="37"/>
  <c r="F16" i="37"/>
  <c r="E16" i="37"/>
  <c r="M16" i="37" s="1"/>
  <c r="N16" i="37" s="1"/>
  <c r="D25" i="37"/>
  <c r="C26" i="37"/>
  <c r="H9" i="37"/>
  <c r="G9" i="37"/>
  <c r="L9" i="37"/>
  <c r="F9" i="37"/>
  <c r="I9" i="37"/>
  <c r="M19" i="37"/>
  <c r="N19" i="37" s="1"/>
  <c r="C11" i="37"/>
  <c r="D10" i="37"/>
  <c r="G4" i="37"/>
  <c r="F4" i="37"/>
  <c r="E4" i="37"/>
  <c r="H4" i="37"/>
  <c r="I4" i="37"/>
  <c r="L4" i="37"/>
  <c r="E24" i="37"/>
  <c r="H24" i="37"/>
  <c r="G24" i="37"/>
  <c r="I24" i="37"/>
  <c r="L24" i="37"/>
  <c r="F24" i="37"/>
  <c r="D7" i="37"/>
  <c r="E14" i="37"/>
  <c r="L14" i="37"/>
  <c r="H14" i="37"/>
  <c r="I14" i="37"/>
  <c r="G14" i="37"/>
  <c r="F14" i="37"/>
  <c r="F23" i="37"/>
  <c r="I23" i="37"/>
  <c r="L23" i="37"/>
  <c r="E23" i="37"/>
  <c r="H23" i="37"/>
  <c r="G23" i="37"/>
  <c r="F15" i="37"/>
  <c r="L15" i="37"/>
  <c r="I15" i="37"/>
  <c r="H15" i="37"/>
  <c r="G15" i="37"/>
  <c r="E15" i="37"/>
  <c r="M15" i="37" s="1"/>
  <c r="N15" i="37" s="1"/>
  <c r="F18" i="37"/>
  <c r="L18" i="37"/>
  <c r="E18" i="37"/>
  <c r="G18" i="37"/>
  <c r="I18" i="37"/>
  <c r="H18" i="37"/>
  <c r="M22" i="37"/>
  <c r="N22" i="37" s="1"/>
  <c r="D6" i="37"/>
  <c r="I81" i="26"/>
  <c r="A78" i="26"/>
  <c r="B75" i="26"/>
  <c r="E41" i="26"/>
  <c r="D19" i="26"/>
  <c r="D12" i="26"/>
  <c r="E2" i="26" s="1"/>
  <c r="C12" i="26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I81" i="27"/>
  <c r="A78" i="27"/>
  <c r="B75" i="27"/>
  <c r="E41" i="27"/>
  <c r="D19" i="27"/>
  <c r="D12" i="27"/>
  <c r="E2" i="27" s="1"/>
  <c r="C12" i="27"/>
  <c r="I81" i="29"/>
  <c r="A78" i="29"/>
  <c r="B75" i="29"/>
  <c r="E41" i="29"/>
  <c r="D19" i="29"/>
  <c r="D34" i="29" s="1"/>
  <c r="D12" i="29"/>
  <c r="E2" i="29" s="1"/>
  <c r="E3" i="29" s="1"/>
  <c r="C12" i="29"/>
  <c r="D19" i="30"/>
  <c r="D34" i="30" s="1"/>
  <c r="I81" i="30"/>
  <c r="A78" i="30"/>
  <c r="B75" i="30"/>
  <c r="E41" i="30"/>
  <c r="B40" i="30"/>
  <c r="E40" i="30" s="1"/>
  <c r="B40" i="29" s="1"/>
  <c r="E40" i="29" s="1"/>
  <c r="B40" i="27" s="1"/>
  <c r="E40" i="27" s="1"/>
  <c r="B40" i="26" s="1"/>
  <c r="E40" i="26" s="1"/>
  <c r="D12" i="30"/>
  <c r="E2" i="30" s="1"/>
  <c r="E3" i="30" s="1"/>
  <c r="C12" i="30"/>
  <c r="I81" i="32"/>
  <c r="A78" i="32"/>
  <c r="B75" i="32"/>
  <c r="E41" i="32"/>
  <c r="D19" i="32"/>
  <c r="F37" i="32" s="1"/>
  <c r="D12" i="32"/>
  <c r="E2" i="32" s="1"/>
  <c r="C12" i="32"/>
  <c r="E8" i="37" l="1"/>
  <c r="F8" i="37"/>
  <c r="G8" i="37"/>
  <c r="M24" i="37"/>
  <c r="N24" i="37" s="1"/>
  <c r="G25" i="37"/>
  <c r="F25" i="37"/>
  <c r="I25" i="37"/>
  <c r="E25" i="37"/>
  <c r="L25" i="37"/>
  <c r="H25" i="37"/>
  <c r="G10" i="37"/>
  <c r="F10" i="37"/>
  <c r="L10" i="37"/>
  <c r="E10" i="37"/>
  <c r="H10" i="37"/>
  <c r="I10" i="37"/>
  <c r="M23" i="37"/>
  <c r="N23" i="37" s="1"/>
  <c r="C12" i="37"/>
  <c r="D11" i="37"/>
  <c r="M5" i="37"/>
  <c r="N5" i="37" s="1"/>
  <c r="M14" i="37"/>
  <c r="N14" i="37" s="1"/>
  <c r="M4" i="37"/>
  <c r="M21" i="37"/>
  <c r="N21" i="37" s="1"/>
  <c r="M9" i="37"/>
  <c r="N9" i="37" s="1"/>
  <c r="M18" i="37"/>
  <c r="N18" i="37" s="1"/>
  <c r="M17" i="37"/>
  <c r="N17" i="37" s="1"/>
  <c r="E6" i="37"/>
  <c r="I6" i="37"/>
  <c r="H6" i="37"/>
  <c r="G6" i="37"/>
  <c r="F6" i="37"/>
  <c r="L6" i="37"/>
  <c r="C27" i="37"/>
  <c r="D26" i="37"/>
  <c r="L7" i="37"/>
  <c r="G7" i="37"/>
  <c r="I7" i="37"/>
  <c r="H7" i="37"/>
  <c r="F7" i="37"/>
  <c r="E7" i="37"/>
  <c r="M8" i="37"/>
  <c r="N8" i="37" s="1"/>
  <c r="C37" i="29"/>
  <c r="B78" i="29"/>
  <c r="D34" i="27"/>
  <c r="B78" i="27"/>
  <c r="C37" i="27"/>
  <c r="D34" i="26"/>
  <c r="B81" i="29"/>
  <c r="C81" i="29" s="1"/>
  <c r="C37" i="26"/>
  <c r="B81" i="26"/>
  <c r="C81" i="26" s="1"/>
  <c r="I82" i="26"/>
  <c r="E3" i="26"/>
  <c r="I82" i="27"/>
  <c r="B81" i="27"/>
  <c r="C81" i="27" s="1"/>
  <c r="E3" i="27"/>
  <c r="I82" i="29"/>
  <c r="C37" i="30"/>
  <c r="B81" i="30"/>
  <c r="C81" i="30" s="1"/>
  <c r="I82" i="30"/>
  <c r="I82" i="32"/>
  <c r="B81" i="32"/>
  <c r="C81" i="32" s="1"/>
  <c r="E3" i="32"/>
  <c r="D34" i="32"/>
  <c r="D12" i="37" l="1"/>
  <c r="C13" i="37"/>
  <c r="D13" i="37" s="1"/>
  <c r="M10" i="37"/>
  <c r="N10" i="37" s="1"/>
  <c r="I26" i="37"/>
  <c r="H26" i="37"/>
  <c r="G26" i="37"/>
  <c r="F26" i="37"/>
  <c r="E26" i="37"/>
  <c r="L26" i="37"/>
  <c r="C28" i="37"/>
  <c r="D27" i="37"/>
  <c r="M6" i="37"/>
  <c r="N6" i="37" s="1"/>
  <c r="N4" i="37"/>
  <c r="M25" i="37"/>
  <c r="N25" i="37" s="1"/>
  <c r="M7" i="37"/>
  <c r="N7" i="37" s="1"/>
  <c r="E11" i="37"/>
  <c r="I11" i="37"/>
  <c r="H11" i="37"/>
  <c r="G11" i="37"/>
  <c r="L11" i="37"/>
  <c r="F11" i="37"/>
  <c r="G12" i="37"/>
  <c r="F12" i="37"/>
  <c r="L12" i="37"/>
  <c r="I12" i="37"/>
  <c r="E12" i="37"/>
  <c r="H12" i="37"/>
  <c r="I81" i="21"/>
  <c r="A78" i="21"/>
  <c r="B75" i="21"/>
  <c r="E41" i="21"/>
  <c r="D19" i="21"/>
  <c r="B78" i="21" s="1"/>
  <c r="D12" i="21"/>
  <c r="E2" i="21" s="1"/>
  <c r="C12" i="21"/>
  <c r="I81" i="24"/>
  <c r="A78" i="24"/>
  <c r="E41" i="24"/>
  <c r="D19" i="24"/>
  <c r="B78" i="24" s="1"/>
  <c r="B81" i="24" s="1"/>
  <c r="C12" i="24"/>
  <c r="I81" i="25"/>
  <c r="A78" i="25"/>
  <c r="B75" i="25"/>
  <c r="E41" i="25"/>
  <c r="D19" i="25"/>
  <c r="B78" i="25" s="1"/>
  <c r="D12" i="25"/>
  <c r="E2" i="25" s="1"/>
  <c r="C12" i="25"/>
  <c r="I81" i="31"/>
  <c r="A78" i="31"/>
  <c r="B75" i="31"/>
  <c r="E41" i="31"/>
  <c r="D19" i="31"/>
  <c r="C37" i="31" s="1"/>
  <c r="D12" i="31"/>
  <c r="E2" i="31" s="1"/>
  <c r="C12" i="31"/>
  <c r="B40" i="31"/>
  <c r="E40" i="31" s="1"/>
  <c r="B39" i="31"/>
  <c r="E39" i="31" s="1"/>
  <c r="B39" i="30" s="1"/>
  <c r="E39" i="30" s="1"/>
  <c r="B39" i="29" s="1"/>
  <c r="E39" i="29" s="1"/>
  <c r="B39" i="27" s="1"/>
  <c r="E39" i="27" s="1"/>
  <c r="B39" i="26" s="1"/>
  <c r="E39" i="26" s="1"/>
  <c r="C12" i="6"/>
  <c r="C12" i="7"/>
  <c r="C12" i="8"/>
  <c r="C12" i="9"/>
  <c r="C12" i="10"/>
  <c r="C12" i="11"/>
  <c r="C12" i="12"/>
  <c r="C12" i="13"/>
  <c r="C12" i="14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A58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B47" i="33"/>
  <c r="A47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I13" i="37" l="1"/>
  <c r="L13" i="37"/>
  <c r="E13" i="37"/>
  <c r="H13" i="37"/>
  <c r="F13" i="37"/>
  <c r="G13" i="37"/>
  <c r="M26" i="37"/>
  <c r="N26" i="37" s="1"/>
  <c r="M11" i="37"/>
  <c r="N11" i="37" s="1"/>
  <c r="M12" i="37"/>
  <c r="N12" i="37" s="1"/>
  <c r="I27" i="37"/>
  <c r="H27" i="37"/>
  <c r="L27" i="37"/>
  <c r="G27" i="37"/>
  <c r="E27" i="37"/>
  <c r="F27" i="37"/>
  <c r="C29" i="37"/>
  <c r="D28" i="37"/>
  <c r="I82" i="31"/>
  <c r="D34" i="31"/>
  <c r="D34" i="21"/>
  <c r="C37" i="21"/>
  <c r="D34" i="24"/>
  <c r="B78" i="31"/>
  <c r="B81" i="31" s="1"/>
  <c r="C81" i="31" s="1"/>
  <c r="B81" i="21"/>
  <c r="C81" i="21" s="1"/>
  <c r="D34" i="25"/>
  <c r="C37" i="25"/>
  <c r="B81" i="25"/>
  <c r="C81" i="25" s="1"/>
  <c r="I82" i="25"/>
  <c r="I82" i="21"/>
  <c r="E3" i="21"/>
  <c r="I82" i="24"/>
  <c r="C37" i="24"/>
  <c r="D12" i="24"/>
  <c r="E2" i="24" s="1"/>
  <c r="E3" i="25"/>
  <c r="Q58" i="33"/>
  <c r="E3" i="31"/>
  <c r="Q47" i="33"/>
  <c r="A78" i="14"/>
  <c r="B75" i="14"/>
  <c r="A78" i="13"/>
  <c r="B75" i="13"/>
  <c r="A78" i="12"/>
  <c r="B75" i="12"/>
  <c r="A78" i="11"/>
  <c r="B75" i="11"/>
  <c r="A78" i="10"/>
  <c r="B75" i="10"/>
  <c r="A78" i="9"/>
  <c r="B75" i="9"/>
  <c r="A78" i="8"/>
  <c r="B75" i="8"/>
  <c r="A78" i="7"/>
  <c r="B75" i="7"/>
  <c r="A78" i="6"/>
  <c r="B75" i="6"/>
  <c r="M13" i="37" l="1"/>
  <c r="N13" i="37" s="1"/>
  <c r="L28" i="37"/>
  <c r="I28" i="37"/>
  <c r="H28" i="37"/>
  <c r="G28" i="37"/>
  <c r="F28" i="37"/>
  <c r="E28" i="37"/>
  <c r="C30" i="37"/>
  <c r="D29" i="37"/>
  <c r="M27" i="37"/>
  <c r="N27" i="37" s="1"/>
  <c r="A37" i="31"/>
  <c r="D37" i="31" s="1"/>
  <c r="E37" i="31" s="1"/>
  <c r="A37" i="30" s="1"/>
  <c r="D37" i="30" s="1"/>
  <c r="E37" i="30" s="1"/>
  <c r="C81" i="24"/>
  <c r="E3" i="24"/>
  <c r="P72" i="33"/>
  <c r="O72" i="33"/>
  <c r="N72" i="33"/>
  <c r="M72" i="33"/>
  <c r="L72" i="33"/>
  <c r="K72" i="33"/>
  <c r="J72" i="33"/>
  <c r="I72" i="33"/>
  <c r="H72" i="33"/>
  <c r="G72" i="33"/>
  <c r="F72" i="33"/>
  <c r="E72" i="33"/>
  <c r="D72" i="33"/>
  <c r="C72" i="33"/>
  <c r="B72" i="33"/>
  <c r="P70" i="33"/>
  <c r="O70" i="33"/>
  <c r="N70" i="33"/>
  <c r="M70" i="33"/>
  <c r="L70" i="33"/>
  <c r="K70" i="33"/>
  <c r="J70" i="33"/>
  <c r="I70" i="33"/>
  <c r="H70" i="33"/>
  <c r="G70" i="33"/>
  <c r="F70" i="33"/>
  <c r="E70" i="33"/>
  <c r="D70" i="33"/>
  <c r="C70" i="33"/>
  <c r="B70" i="33"/>
  <c r="P69" i="33"/>
  <c r="O69" i="33"/>
  <c r="N69" i="33"/>
  <c r="M69" i="33"/>
  <c r="L69" i="33"/>
  <c r="K69" i="33"/>
  <c r="J69" i="33"/>
  <c r="I69" i="33"/>
  <c r="H69" i="33"/>
  <c r="G69" i="33"/>
  <c r="F69" i="33"/>
  <c r="E69" i="33"/>
  <c r="D69" i="33"/>
  <c r="C69" i="33"/>
  <c r="B69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E29" i="37" l="1"/>
  <c r="L29" i="37"/>
  <c r="I29" i="37"/>
  <c r="H29" i="37"/>
  <c r="G29" i="37"/>
  <c r="F29" i="37"/>
  <c r="M28" i="37"/>
  <c r="N28" i="37" s="1"/>
  <c r="C31" i="37"/>
  <c r="D30" i="37"/>
  <c r="F37" i="30"/>
  <c r="A37" i="29"/>
  <c r="D37" i="29" s="1"/>
  <c r="E37" i="29" s="1"/>
  <c r="F37" i="31"/>
  <c r="Q65" i="33"/>
  <c r="Q66" i="33"/>
  <c r="P51" i="33"/>
  <c r="P50" i="33"/>
  <c r="O51" i="33"/>
  <c r="O50" i="33"/>
  <c r="N51" i="33"/>
  <c r="N50" i="33"/>
  <c r="M51" i="33"/>
  <c r="M50" i="33"/>
  <c r="L51" i="33"/>
  <c r="L50" i="33"/>
  <c r="K51" i="33"/>
  <c r="K50" i="33"/>
  <c r="J51" i="33"/>
  <c r="J50" i="33"/>
  <c r="I51" i="33"/>
  <c r="I50" i="33"/>
  <c r="H51" i="33"/>
  <c r="H50" i="33"/>
  <c r="G51" i="33"/>
  <c r="G50" i="33"/>
  <c r="F51" i="33"/>
  <c r="F50" i="33"/>
  <c r="E51" i="33"/>
  <c r="E50" i="33"/>
  <c r="D51" i="33"/>
  <c r="D50" i="33"/>
  <c r="C51" i="33"/>
  <c r="C50" i="33"/>
  <c r="B51" i="33"/>
  <c r="B50" i="33"/>
  <c r="B14" i="33"/>
  <c r="Q14" i="33"/>
  <c r="Q13" i="33"/>
  <c r="P14" i="33"/>
  <c r="P13" i="33"/>
  <c r="O14" i="33"/>
  <c r="O13" i="33"/>
  <c r="N14" i="33"/>
  <c r="N13" i="33"/>
  <c r="M14" i="33"/>
  <c r="M13" i="33"/>
  <c r="L14" i="33"/>
  <c r="L13" i="33"/>
  <c r="K14" i="33"/>
  <c r="K13" i="33"/>
  <c r="J14" i="33"/>
  <c r="J13" i="33"/>
  <c r="I14" i="33"/>
  <c r="I13" i="33"/>
  <c r="H14" i="33"/>
  <c r="H13" i="33"/>
  <c r="G14" i="33"/>
  <c r="G13" i="33"/>
  <c r="F14" i="33"/>
  <c r="F13" i="33"/>
  <c r="E14" i="33"/>
  <c r="E13" i="33"/>
  <c r="D14" i="33"/>
  <c r="D13" i="33"/>
  <c r="C14" i="33"/>
  <c r="C13" i="33"/>
  <c r="B13" i="33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M29" i="37" l="1"/>
  <c r="N29" i="37" s="1"/>
  <c r="D31" i="37"/>
  <c r="C32" i="37"/>
  <c r="E30" i="37"/>
  <c r="G30" i="37"/>
  <c r="L30" i="37"/>
  <c r="I30" i="37"/>
  <c r="H30" i="37"/>
  <c r="F30" i="37"/>
  <c r="F37" i="29"/>
  <c r="Q51" i="33"/>
  <c r="Q50" i="33"/>
  <c r="C12" i="33"/>
  <c r="P49" i="33"/>
  <c r="N49" i="33"/>
  <c r="M49" i="33"/>
  <c r="L49" i="33"/>
  <c r="K49" i="33"/>
  <c r="J49" i="33"/>
  <c r="D49" i="33"/>
  <c r="C49" i="33"/>
  <c r="B49" i="33"/>
  <c r="M12" i="33"/>
  <c r="K12" i="33"/>
  <c r="J12" i="33"/>
  <c r="B12" i="33"/>
  <c r="E2" i="34"/>
  <c r="E2" i="36"/>
  <c r="P59" i="33"/>
  <c r="P57" i="33"/>
  <c r="P56" i="33"/>
  <c r="P53" i="33"/>
  <c r="P52" i="33"/>
  <c r="P48" i="33"/>
  <c r="P46" i="33"/>
  <c r="P45" i="33"/>
  <c r="P44" i="33"/>
  <c r="P43" i="33"/>
  <c r="P42" i="33"/>
  <c r="P41" i="33"/>
  <c r="P40" i="33"/>
  <c r="O59" i="33"/>
  <c r="O57" i="33"/>
  <c r="O56" i="33"/>
  <c r="O53" i="33"/>
  <c r="O52" i="33"/>
  <c r="O49" i="33"/>
  <c r="O48" i="33"/>
  <c r="O46" i="33"/>
  <c r="O45" i="33"/>
  <c r="O44" i="33"/>
  <c r="O43" i="33"/>
  <c r="O42" i="33"/>
  <c r="O41" i="33"/>
  <c r="O40" i="33"/>
  <c r="N59" i="33"/>
  <c r="N57" i="33"/>
  <c r="N56" i="33"/>
  <c r="N53" i="33"/>
  <c r="N52" i="33"/>
  <c r="N48" i="33"/>
  <c r="N46" i="33"/>
  <c r="N45" i="33"/>
  <c r="N44" i="33"/>
  <c r="N43" i="33"/>
  <c r="N42" i="33"/>
  <c r="N41" i="33"/>
  <c r="N40" i="33"/>
  <c r="M59" i="33"/>
  <c r="M57" i="33"/>
  <c r="M56" i="33"/>
  <c r="M53" i="33"/>
  <c r="M52" i="33"/>
  <c r="M48" i="33"/>
  <c r="M46" i="33"/>
  <c r="M45" i="33"/>
  <c r="M44" i="33"/>
  <c r="M43" i="33"/>
  <c r="M42" i="33"/>
  <c r="M41" i="33"/>
  <c r="M40" i="33"/>
  <c r="L59" i="33"/>
  <c r="L57" i="33"/>
  <c r="L56" i="33"/>
  <c r="L53" i="33"/>
  <c r="L52" i="33"/>
  <c r="L48" i="33"/>
  <c r="L46" i="33"/>
  <c r="L45" i="33"/>
  <c r="L44" i="33"/>
  <c r="L43" i="33"/>
  <c r="L42" i="33"/>
  <c r="L41" i="33"/>
  <c r="L40" i="33"/>
  <c r="K59" i="33"/>
  <c r="K57" i="33"/>
  <c r="K56" i="33"/>
  <c r="K53" i="33"/>
  <c r="K52" i="33"/>
  <c r="K48" i="33"/>
  <c r="K46" i="33"/>
  <c r="K45" i="33"/>
  <c r="K44" i="33"/>
  <c r="K43" i="33"/>
  <c r="K42" i="33"/>
  <c r="K41" i="33"/>
  <c r="K40" i="33"/>
  <c r="Q75" i="33"/>
  <c r="U69" i="33"/>
  <c r="B35" i="33"/>
  <c r="B33" i="33"/>
  <c r="B32" i="33"/>
  <c r="B30" i="33"/>
  <c r="B27" i="33"/>
  <c r="B22" i="33"/>
  <c r="B20" i="33"/>
  <c r="B19" i="33"/>
  <c r="B16" i="33"/>
  <c r="B15" i="33"/>
  <c r="B11" i="33"/>
  <c r="B9" i="33"/>
  <c r="B8" i="33"/>
  <c r="B7" i="33"/>
  <c r="B6" i="33"/>
  <c r="B5" i="33"/>
  <c r="B4" i="33"/>
  <c r="B3" i="33"/>
  <c r="B2" i="33"/>
  <c r="J59" i="33"/>
  <c r="J57" i="33"/>
  <c r="J56" i="33"/>
  <c r="J53" i="33"/>
  <c r="J52" i="33"/>
  <c r="J48" i="33"/>
  <c r="J46" i="33"/>
  <c r="J45" i="33"/>
  <c r="J44" i="33"/>
  <c r="J43" i="33"/>
  <c r="J42" i="33"/>
  <c r="J41" i="33"/>
  <c r="J40" i="33"/>
  <c r="I59" i="33"/>
  <c r="I57" i="33"/>
  <c r="I56" i="33"/>
  <c r="I53" i="33"/>
  <c r="I52" i="33"/>
  <c r="I49" i="33"/>
  <c r="I48" i="33"/>
  <c r="I46" i="33"/>
  <c r="I45" i="33"/>
  <c r="I44" i="33"/>
  <c r="I43" i="33"/>
  <c r="I42" i="33"/>
  <c r="I41" i="33"/>
  <c r="I40" i="33"/>
  <c r="H59" i="33"/>
  <c r="H57" i="33"/>
  <c r="H56" i="33"/>
  <c r="H53" i="33"/>
  <c r="H52" i="33"/>
  <c r="H49" i="33"/>
  <c r="H48" i="33"/>
  <c r="H46" i="33"/>
  <c r="H45" i="33"/>
  <c r="H44" i="33"/>
  <c r="H43" i="33"/>
  <c r="H42" i="33"/>
  <c r="H41" i="33"/>
  <c r="H40" i="33"/>
  <c r="G59" i="33"/>
  <c r="G57" i="33"/>
  <c r="G56" i="33"/>
  <c r="G53" i="33"/>
  <c r="G52" i="33"/>
  <c r="G49" i="33"/>
  <c r="G48" i="33"/>
  <c r="G46" i="33"/>
  <c r="G45" i="33"/>
  <c r="G44" i="33"/>
  <c r="G43" i="33"/>
  <c r="G42" i="33"/>
  <c r="G41" i="33"/>
  <c r="G40" i="33"/>
  <c r="F59" i="33"/>
  <c r="F57" i="33"/>
  <c r="F56" i="33"/>
  <c r="F53" i="33"/>
  <c r="F52" i="33"/>
  <c r="F49" i="33"/>
  <c r="F48" i="33"/>
  <c r="F46" i="33"/>
  <c r="F45" i="33"/>
  <c r="F44" i="33"/>
  <c r="F43" i="33"/>
  <c r="F42" i="33"/>
  <c r="F41" i="33"/>
  <c r="F40" i="33"/>
  <c r="E59" i="33"/>
  <c r="E57" i="33"/>
  <c r="E56" i="33"/>
  <c r="E53" i="33"/>
  <c r="E52" i="33"/>
  <c r="E49" i="33"/>
  <c r="E48" i="33"/>
  <c r="E46" i="33"/>
  <c r="E45" i="33"/>
  <c r="E44" i="33"/>
  <c r="E43" i="33"/>
  <c r="E42" i="33"/>
  <c r="E41" i="33"/>
  <c r="E40" i="33"/>
  <c r="D59" i="33"/>
  <c r="D57" i="33"/>
  <c r="D56" i="33"/>
  <c r="D53" i="33"/>
  <c r="D52" i="33"/>
  <c r="D48" i="33"/>
  <c r="D46" i="33"/>
  <c r="D45" i="33"/>
  <c r="D44" i="33"/>
  <c r="D43" i="33"/>
  <c r="D42" i="33"/>
  <c r="D41" i="33"/>
  <c r="D40" i="33"/>
  <c r="C59" i="33"/>
  <c r="C57" i="33"/>
  <c r="C56" i="33"/>
  <c r="C53" i="33"/>
  <c r="C52" i="33"/>
  <c r="C48" i="33"/>
  <c r="C46" i="33"/>
  <c r="C45" i="33"/>
  <c r="C44" i="33"/>
  <c r="C43" i="33"/>
  <c r="C42" i="33"/>
  <c r="C41" i="33"/>
  <c r="C40" i="33"/>
  <c r="B59" i="33"/>
  <c r="B57" i="33"/>
  <c r="B56" i="33"/>
  <c r="B53" i="33"/>
  <c r="B52" i="33"/>
  <c r="B48" i="33"/>
  <c r="B46" i="33"/>
  <c r="B45" i="33"/>
  <c r="B44" i="33"/>
  <c r="B43" i="33"/>
  <c r="B42" i="33"/>
  <c r="B41" i="33"/>
  <c r="B40" i="33"/>
  <c r="Q35" i="33"/>
  <c r="Q33" i="33"/>
  <c r="Q32" i="33"/>
  <c r="Q30" i="33"/>
  <c r="Q27" i="33"/>
  <c r="Q22" i="33"/>
  <c r="Q20" i="33"/>
  <c r="Q19" i="33"/>
  <c r="Q16" i="33"/>
  <c r="Q15" i="33"/>
  <c r="Q12" i="33"/>
  <c r="Q11" i="33"/>
  <c r="Q9" i="33"/>
  <c r="Q8" i="33"/>
  <c r="Q7" i="33"/>
  <c r="Q6" i="33"/>
  <c r="Q5" i="33"/>
  <c r="Q4" i="33"/>
  <c r="Q3" i="33"/>
  <c r="P35" i="33"/>
  <c r="P33" i="33"/>
  <c r="P32" i="33"/>
  <c r="P30" i="33"/>
  <c r="P27" i="33"/>
  <c r="P22" i="33"/>
  <c r="P20" i="33"/>
  <c r="P19" i="33"/>
  <c r="P16" i="33"/>
  <c r="P15" i="33"/>
  <c r="P12" i="33"/>
  <c r="P11" i="33"/>
  <c r="P9" i="33"/>
  <c r="P8" i="33"/>
  <c r="P7" i="33"/>
  <c r="P6" i="33"/>
  <c r="P5" i="33"/>
  <c r="P4" i="33"/>
  <c r="P3" i="33"/>
  <c r="O35" i="33"/>
  <c r="O34" i="33"/>
  <c r="O33" i="33"/>
  <c r="O32" i="33"/>
  <c r="O30" i="33"/>
  <c r="O27" i="33"/>
  <c r="O22" i="33"/>
  <c r="O20" i="33"/>
  <c r="O19" i="33"/>
  <c r="O16" i="33"/>
  <c r="O15" i="33"/>
  <c r="O12" i="33"/>
  <c r="O11" i="33"/>
  <c r="O9" i="33"/>
  <c r="O8" i="33"/>
  <c r="O7" i="33"/>
  <c r="O6" i="33"/>
  <c r="O5" i="33"/>
  <c r="O4" i="33"/>
  <c r="O3" i="33"/>
  <c r="N35" i="33"/>
  <c r="N33" i="33"/>
  <c r="N32" i="33"/>
  <c r="N30" i="33"/>
  <c r="N27" i="33"/>
  <c r="N22" i="33"/>
  <c r="N20" i="33"/>
  <c r="N19" i="33"/>
  <c r="N16" i="33"/>
  <c r="N15" i="33"/>
  <c r="N12" i="33"/>
  <c r="N11" i="33"/>
  <c r="N9" i="33"/>
  <c r="N8" i="33"/>
  <c r="N7" i="33"/>
  <c r="N6" i="33"/>
  <c r="N5" i="33"/>
  <c r="N4" i="33"/>
  <c r="N3" i="33"/>
  <c r="M35" i="33"/>
  <c r="M33" i="33"/>
  <c r="M32" i="33"/>
  <c r="M30" i="33"/>
  <c r="M27" i="33"/>
  <c r="M22" i="33"/>
  <c r="M20" i="33"/>
  <c r="M19" i="33"/>
  <c r="M16" i="33"/>
  <c r="M15" i="33"/>
  <c r="M11" i="33"/>
  <c r="M9" i="33"/>
  <c r="M8" i="33"/>
  <c r="M7" i="33"/>
  <c r="M6" i="33"/>
  <c r="M5" i="33"/>
  <c r="M4" i="33"/>
  <c r="M3" i="33"/>
  <c r="L35" i="33"/>
  <c r="L33" i="33"/>
  <c r="L32" i="33"/>
  <c r="L31" i="33"/>
  <c r="L30" i="33"/>
  <c r="L27" i="33"/>
  <c r="L22" i="33"/>
  <c r="L20" i="33"/>
  <c r="L19" i="33"/>
  <c r="L16" i="33"/>
  <c r="L15" i="33"/>
  <c r="L12" i="33"/>
  <c r="L11" i="33"/>
  <c r="L9" i="33"/>
  <c r="L8" i="33"/>
  <c r="L7" i="33"/>
  <c r="L6" i="33"/>
  <c r="L5" i="33"/>
  <c r="L4" i="33"/>
  <c r="L3" i="33"/>
  <c r="K35" i="33"/>
  <c r="K33" i="33"/>
  <c r="K32" i="33"/>
  <c r="K30" i="33"/>
  <c r="K27" i="33"/>
  <c r="K22" i="33"/>
  <c r="K20" i="33"/>
  <c r="K19" i="33"/>
  <c r="K16" i="33"/>
  <c r="K15" i="33"/>
  <c r="K11" i="33"/>
  <c r="K9" i="33"/>
  <c r="K8" i="33"/>
  <c r="K7" i="33"/>
  <c r="K6" i="33"/>
  <c r="K5" i="33"/>
  <c r="K4" i="33"/>
  <c r="K3" i="33"/>
  <c r="J35" i="33"/>
  <c r="J33" i="33"/>
  <c r="J32" i="33"/>
  <c r="J30" i="33"/>
  <c r="J27" i="33"/>
  <c r="J22" i="33"/>
  <c r="J20" i="33"/>
  <c r="J19" i="33"/>
  <c r="J16" i="33"/>
  <c r="J15" i="33"/>
  <c r="J11" i="33"/>
  <c r="J9" i="33"/>
  <c r="J8" i="33"/>
  <c r="J7" i="33"/>
  <c r="J6" i="33"/>
  <c r="J5" i="33"/>
  <c r="J4" i="33"/>
  <c r="J3" i="33"/>
  <c r="I35" i="33"/>
  <c r="I34" i="33"/>
  <c r="I33" i="33"/>
  <c r="I32" i="33"/>
  <c r="I30" i="33"/>
  <c r="I27" i="33"/>
  <c r="I22" i="33"/>
  <c r="I20" i="33"/>
  <c r="I19" i="33"/>
  <c r="I16" i="33"/>
  <c r="I15" i="33"/>
  <c r="I12" i="33"/>
  <c r="I11" i="33"/>
  <c r="I9" i="33"/>
  <c r="I8" i="33"/>
  <c r="I7" i="33"/>
  <c r="I6" i="33"/>
  <c r="I5" i="33"/>
  <c r="I4" i="33"/>
  <c r="I3" i="33"/>
  <c r="H35" i="33"/>
  <c r="H33" i="33"/>
  <c r="H32" i="33"/>
  <c r="H30" i="33"/>
  <c r="H27" i="33"/>
  <c r="H22" i="33"/>
  <c r="H20" i="33"/>
  <c r="H19" i="33"/>
  <c r="H16" i="33"/>
  <c r="H15" i="33"/>
  <c r="H12" i="33"/>
  <c r="H11" i="33"/>
  <c r="H9" i="33"/>
  <c r="H8" i="33"/>
  <c r="H7" i="33"/>
  <c r="H6" i="33"/>
  <c r="H5" i="33"/>
  <c r="H4" i="33"/>
  <c r="H3" i="33"/>
  <c r="G35" i="33"/>
  <c r="G33" i="33"/>
  <c r="G32" i="33"/>
  <c r="G30" i="33"/>
  <c r="G27" i="33"/>
  <c r="G22" i="33"/>
  <c r="G20" i="33"/>
  <c r="G19" i="33"/>
  <c r="G16" i="33"/>
  <c r="G15" i="33"/>
  <c r="G12" i="33"/>
  <c r="G11" i="33"/>
  <c r="G9" i="33"/>
  <c r="G8" i="33"/>
  <c r="G7" i="33"/>
  <c r="G6" i="33"/>
  <c r="G5" i="33"/>
  <c r="G4" i="33"/>
  <c r="G3" i="33"/>
  <c r="F35" i="33"/>
  <c r="F33" i="33"/>
  <c r="F32" i="33"/>
  <c r="F30" i="33"/>
  <c r="F27" i="33"/>
  <c r="F22" i="33"/>
  <c r="F20" i="33"/>
  <c r="F19" i="33"/>
  <c r="F16" i="33"/>
  <c r="F15" i="33"/>
  <c r="F12" i="33"/>
  <c r="F11" i="33"/>
  <c r="F9" i="33"/>
  <c r="F8" i="33"/>
  <c r="F7" i="33"/>
  <c r="F6" i="33"/>
  <c r="F5" i="33"/>
  <c r="F4" i="33"/>
  <c r="F3" i="33"/>
  <c r="E35" i="33"/>
  <c r="E34" i="33"/>
  <c r="E33" i="33"/>
  <c r="E32" i="33"/>
  <c r="E31" i="33"/>
  <c r="E30" i="33"/>
  <c r="E27" i="33"/>
  <c r="E26" i="33"/>
  <c r="E25" i="33"/>
  <c r="E24" i="33"/>
  <c r="E22" i="33"/>
  <c r="E20" i="33"/>
  <c r="E19" i="33"/>
  <c r="E16" i="33"/>
  <c r="E15" i="33"/>
  <c r="E12" i="33"/>
  <c r="E11" i="33"/>
  <c r="E9" i="33"/>
  <c r="E8" i="33"/>
  <c r="E7" i="33"/>
  <c r="E6" i="33"/>
  <c r="E5" i="33"/>
  <c r="E4" i="33"/>
  <c r="E3" i="33"/>
  <c r="D35" i="33"/>
  <c r="D33" i="33"/>
  <c r="D32" i="33"/>
  <c r="D30" i="33"/>
  <c r="D27" i="33"/>
  <c r="D22" i="33"/>
  <c r="D20" i="33"/>
  <c r="D19" i="33"/>
  <c r="D16" i="33"/>
  <c r="D15" i="33"/>
  <c r="D12" i="33"/>
  <c r="D11" i="33"/>
  <c r="D9" i="33"/>
  <c r="D8" i="33"/>
  <c r="D7" i="33"/>
  <c r="D6" i="33"/>
  <c r="D5" i="33"/>
  <c r="D4" i="33"/>
  <c r="D3" i="33"/>
  <c r="C35" i="33"/>
  <c r="C33" i="33"/>
  <c r="C32" i="33"/>
  <c r="C30" i="33"/>
  <c r="C27" i="33"/>
  <c r="C22" i="33"/>
  <c r="C20" i="33"/>
  <c r="C19" i="33"/>
  <c r="C16" i="33"/>
  <c r="C15" i="33"/>
  <c r="C11" i="33"/>
  <c r="C9" i="33"/>
  <c r="C8" i="33"/>
  <c r="C7" i="33"/>
  <c r="C6" i="33"/>
  <c r="C5" i="33"/>
  <c r="C4" i="33"/>
  <c r="C3" i="33"/>
  <c r="I81" i="14"/>
  <c r="E41" i="14"/>
  <c r="P63" i="33" s="1"/>
  <c r="D19" i="14"/>
  <c r="B78" i="14" s="1"/>
  <c r="D12" i="14"/>
  <c r="E2" i="14" s="1"/>
  <c r="I81" i="13"/>
  <c r="E41" i="13"/>
  <c r="O63" i="33" s="1"/>
  <c r="D19" i="13"/>
  <c r="B78" i="13" s="1"/>
  <c r="D12" i="13"/>
  <c r="E2" i="13" s="1"/>
  <c r="I81" i="12"/>
  <c r="E41" i="12"/>
  <c r="N63" i="33" s="1"/>
  <c r="D19" i="12"/>
  <c r="D12" i="12"/>
  <c r="E2" i="12" s="1"/>
  <c r="I81" i="11"/>
  <c r="E41" i="11"/>
  <c r="M63" i="33" s="1"/>
  <c r="D19" i="11"/>
  <c r="B78" i="11" s="1"/>
  <c r="D12" i="11"/>
  <c r="E2" i="11" s="1"/>
  <c r="I81" i="10"/>
  <c r="E41" i="10"/>
  <c r="L63" i="33" s="1"/>
  <c r="D19" i="10"/>
  <c r="D12" i="10"/>
  <c r="E2" i="10" s="1"/>
  <c r="I81" i="9"/>
  <c r="E41" i="9"/>
  <c r="K63" i="33" s="1"/>
  <c r="D19" i="9"/>
  <c r="B78" i="9" s="1"/>
  <c r="D12" i="9"/>
  <c r="E2" i="9" s="1"/>
  <c r="I81" i="8"/>
  <c r="E41" i="8"/>
  <c r="J63" i="33" s="1"/>
  <c r="D19" i="8"/>
  <c r="B78" i="8" s="1"/>
  <c r="D12" i="8"/>
  <c r="E2" i="8" s="1"/>
  <c r="I81" i="7"/>
  <c r="E41" i="7"/>
  <c r="I63" i="33" s="1"/>
  <c r="D19" i="7"/>
  <c r="B78" i="7" s="1"/>
  <c r="D12" i="7"/>
  <c r="I81" i="6"/>
  <c r="E41" i="6"/>
  <c r="H63" i="33" s="1"/>
  <c r="D19" i="6"/>
  <c r="B78" i="6" s="1"/>
  <c r="D12" i="6"/>
  <c r="E2" i="6" s="1"/>
  <c r="G63" i="33"/>
  <c r="F63" i="33"/>
  <c r="E63" i="33"/>
  <c r="D63" i="33"/>
  <c r="C63" i="33"/>
  <c r="B63" i="33"/>
  <c r="Q31" i="33"/>
  <c r="Q26" i="33"/>
  <c r="E29" i="36"/>
  <c r="I29" i="36" s="1"/>
  <c r="O26" i="33"/>
  <c r="N31" i="33"/>
  <c r="N26" i="33"/>
  <c r="M31" i="33"/>
  <c r="M26" i="33"/>
  <c r="L26" i="33"/>
  <c r="K31" i="33"/>
  <c r="K26" i="33"/>
  <c r="J31" i="33"/>
  <c r="J26" i="33"/>
  <c r="E23" i="36"/>
  <c r="I23" i="36" s="1"/>
  <c r="I26" i="33"/>
  <c r="H31" i="33"/>
  <c r="H26" i="33"/>
  <c r="G31" i="33"/>
  <c r="G26" i="33"/>
  <c r="F26" i="33"/>
  <c r="F34" i="33"/>
  <c r="D31" i="33"/>
  <c r="D26" i="33"/>
  <c r="C31" i="33"/>
  <c r="C26" i="33"/>
  <c r="B31" i="33"/>
  <c r="B26" i="33"/>
  <c r="M30" i="37" l="1"/>
  <c r="C33" i="37"/>
  <c r="D32" i="37"/>
  <c r="H31" i="37"/>
  <c r="L31" i="37"/>
  <c r="G31" i="37"/>
  <c r="E31" i="37"/>
  <c r="I31" i="37"/>
  <c r="F31" i="37"/>
  <c r="I82" i="14"/>
  <c r="A37" i="27"/>
  <c r="D37" i="27" s="1"/>
  <c r="E37" i="27" s="1"/>
  <c r="E2" i="7"/>
  <c r="E3" i="7" s="1"/>
  <c r="D62" i="33"/>
  <c r="C37" i="14"/>
  <c r="D34" i="14"/>
  <c r="P62" i="33" s="1"/>
  <c r="C37" i="9"/>
  <c r="D34" i="6"/>
  <c r="H62" i="33" s="1"/>
  <c r="Q42" i="33"/>
  <c r="B81" i="8"/>
  <c r="E40" i="36" s="1"/>
  <c r="I40" i="36" s="1"/>
  <c r="J71" i="33"/>
  <c r="J73" i="33" s="1"/>
  <c r="E34" i="36"/>
  <c r="I34" i="36" s="1"/>
  <c r="D71" i="33"/>
  <c r="D73" i="33" s="1"/>
  <c r="C37" i="8"/>
  <c r="C37" i="11"/>
  <c r="B81" i="14"/>
  <c r="E46" i="36" s="1"/>
  <c r="I46" i="36" s="1"/>
  <c r="P71" i="33"/>
  <c r="P73" i="33" s="1"/>
  <c r="H61" i="33"/>
  <c r="G71" i="33"/>
  <c r="G73" i="33" s="1"/>
  <c r="B81" i="13"/>
  <c r="E45" i="36" s="1"/>
  <c r="I45" i="36" s="1"/>
  <c r="O71" i="33"/>
  <c r="O73" i="33" s="1"/>
  <c r="I24" i="33"/>
  <c r="O24" i="33"/>
  <c r="I61" i="33"/>
  <c r="E22" i="36"/>
  <c r="I22" i="36" s="1"/>
  <c r="D34" i="13"/>
  <c r="O62" i="33" s="1"/>
  <c r="B81" i="7"/>
  <c r="I71" i="33"/>
  <c r="C37" i="10"/>
  <c r="B78" i="10"/>
  <c r="C37" i="13"/>
  <c r="K61" i="33"/>
  <c r="B81" i="11"/>
  <c r="C81" i="11" s="1"/>
  <c r="M71" i="33"/>
  <c r="M73" i="33" s="1"/>
  <c r="J25" i="33"/>
  <c r="D24" i="33"/>
  <c r="L25" i="33"/>
  <c r="E32" i="36"/>
  <c r="I32" i="36" s="1"/>
  <c r="B71" i="33"/>
  <c r="B73" i="33" s="1"/>
  <c r="E36" i="36"/>
  <c r="I36" i="36" s="1"/>
  <c r="F71" i="33"/>
  <c r="F73" i="33" s="1"/>
  <c r="B81" i="9"/>
  <c r="E41" i="36" s="1"/>
  <c r="I41" i="36" s="1"/>
  <c r="K71" i="33"/>
  <c r="K73" i="33" s="1"/>
  <c r="N61" i="33"/>
  <c r="B78" i="12"/>
  <c r="Q34" i="33"/>
  <c r="Q36" i="33" s="1"/>
  <c r="E71" i="33"/>
  <c r="E73" i="33" s="1"/>
  <c r="E35" i="36"/>
  <c r="I35" i="36" s="1"/>
  <c r="E25" i="36"/>
  <c r="I25" i="36" s="1"/>
  <c r="Q25" i="33"/>
  <c r="E62" i="33"/>
  <c r="E27" i="36"/>
  <c r="I27" i="36" s="1"/>
  <c r="C71" i="33"/>
  <c r="C73" i="33" s="1"/>
  <c r="E33" i="36"/>
  <c r="I33" i="36" s="1"/>
  <c r="B62" i="33"/>
  <c r="H71" i="33"/>
  <c r="H73" i="33" s="1"/>
  <c r="B81" i="6"/>
  <c r="E38" i="36" s="1"/>
  <c r="I38" i="36" s="1"/>
  <c r="D34" i="9"/>
  <c r="K62" i="33" s="1"/>
  <c r="I82" i="10"/>
  <c r="C37" i="12"/>
  <c r="Q24" i="33"/>
  <c r="D61" i="33"/>
  <c r="P61" i="33"/>
  <c r="I82" i="13"/>
  <c r="O61" i="33"/>
  <c r="I82" i="12"/>
  <c r="D34" i="12"/>
  <c r="N62" i="33" s="1"/>
  <c r="M61" i="33"/>
  <c r="I82" i="11"/>
  <c r="D34" i="11"/>
  <c r="M62" i="33" s="1"/>
  <c r="L61" i="33"/>
  <c r="E3" i="9"/>
  <c r="I82" i="9"/>
  <c r="J61" i="33"/>
  <c r="D34" i="8"/>
  <c r="J62" i="33" s="1"/>
  <c r="I82" i="8"/>
  <c r="C37" i="7"/>
  <c r="D34" i="7"/>
  <c r="I62" i="33" s="1"/>
  <c r="E39" i="36"/>
  <c r="I39" i="36" s="1"/>
  <c r="I73" i="33"/>
  <c r="I82" i="7"/>
  <c r="I82" i="6"/>
  <c r="G62" i="33"/>
  <c r="E37" i="36"/>
  <c r="I37" i="36" s="1"/>
  <c r="G61" i="33"/>
  <c r="F62" i="33"/>
  <c r="F61" i="33"/>
  <c r="E61" i="33"/>
  <c r="C61" i="33"/>
  <c r="C62" i="33"/>
  <c r="B61" i="33"/>
  <c r="E31" i="36"/>
  <c r="I31" i="36" s="1"/>
  <c r="P31" i="33"/>
  <c r="P25" i="33"/>
  <c r="P24" i="33"/>
  <c r="P26" i="33"/>
  <c r="O25" i="33"/>
  <c r="O31" i="33"/>
  <c r="O36" i="33" s="1"/>
  <c r="N25" i="33"/>
  <c r="N24" i="33"/>
  <c r="M24" i="33"/>
  <c r="M34" i="33"/>
  <c r="M36" i="33" s="1"/>
  <c r="L24" i="33"/>
  <c r="K34" i="33"/>
  <c r="K36" i="33" s="1"/>
  <c r="K25" i="33"/>
  <c r="K24" i="33"/>
  <c r="J24" i="33"/>
  <c r="I25" i="33"/>
  <c r="I31" i="33"/>
  <c r="I36" i="33" s="1"/>
  <c r="H24" i="33"/>
  <c r="H25" i="33"/>
  <c r="G25" i="33"/>
  <c r="G24" i="33"/>
  <c r="E20" i="36"/>
  <c r="I20" i="36" s="1"/>
  <c r="F24" i="33"/>
  <c r="F25" i="33"/>
  <c r="F31" i="33"/>
  <c r="F36" i="33" s="1"/>
  <c r="D34" i="33"/>
  <c r="D36" i="33" s="1"/>
  <c r="B24" i="33"/>
  <c r="C34" i="33"/>
  <c r="C36" i="33" s="1"/>
  <c r="E19" i="36"/>
  <c r="I19" i="36" s="1"/>
  <c r="H60" i="33"/>
  <c r="I60" i="33"/>
  <c r="C60" i="33"/>
  <c r="L60" i="33"/>
  <c r="F60" i="33"/>
  <c r="O60" i="33"/>
  <c r="J60" i="33"/>
  <c r="D60" i="33"/>
  <c r="M60" i="33"/>
  <c r="G60" i="33"/>
  <c r="K60" i="33"/>
  <c r="P60" i="33"/>
  <c r="B60" i="33"/>
  <c r="E60" i="33"/>
  <c r="N60" i="33"/>
  <c r="C24" i="33"/>
  <c r="C23" i="33"/>
  <c r="C81" i="7"/>
  <c r="U60" i="33"/>
  <c r="M23" i="33"/>
  <c r="E23" i="33"/>
  <c r="G23" i="33"/>
  <c r="O23" i="33"/>
  <c r="H23" i="33"/>
  <c r="P23" i="33"/>
  <c r="N23" i="33"/>
  <c r="I23" i="33"/>
  <c r="Q23" i="33"/>
  <c r="Q37" i="33" s="1"/>
  <c r="J23" i="33"/>
  <c r="E36" i="33"/>
  <c r="K23" i="33"/>
  <c r="F23" i="33"/>
  <c r="D23" i="33"/>
  <c r="L23" i="33"/>
  <c r="E3" i="14"/>
  <c r="E3" i="13"/>
  <c r="E3" i="12"/>
  <c r="E3" i="11"/>
  <c r="E3" i="10"/>
  <c r="D34" i="10"/>
  <c r="L62" i="33" s="1"/>
  <c r="E3" i="8"/>
  <c r="C37" i="6"/>
  <c r="E3" i="6"/>
  <c r="M25" i="33"/>
  <c r="B25" i="33"/>
  <c r="F37" i="33" l="1"/>
  <c r="E32" i="37"/>
  <c r="F32" i="37"/>
  <c r="L32" i="37"/>
  <c r="I32" i="37"/>
  <c r="G32" i="37"/>
  <c r="H32" i="37"/>
  <c r="M31" i="37"/>
  <c r="N31" i="37" s="1"/>
  <c r="D33" i="37"/>
  <c r="C34" i="37"/>
  <c r="D34" i="37" s="1"/>
  <c r="N30" i="37"/>
  <c r="C81" i="8"/>
  <c r="F37" i="27"/>
  <c r="A37" i="26"/>
  <c r="D37" i="26" s="1"/>
  <c r="E37" i="26" s="1"/>
  <c r="F37" i="26" s="1"/>
  <c r="L34" i="33"/>
  <c r="L36" i="33" s="1"/>
  <c r="C81" i="9"/>
  <c r="C81" i="6"/>
  <c r="B81" i="12"/>
  <c r="N71" i="33"/>
  <c r="N73" i="33" s="1"/>
  <c r="C81" i="13"/>
  <c r="D25" i="33"/>
  <c r="R62" i="33"/>
  <c r="L71" i="33"/>
  <c r="L73" i="33" s="1"/>
  <c r="B81" i="10"/>
  <c r="C81" i="14"/>
  <c r="H34" i="33"/>
  <c r="H36" i="33" s="1"/>
  <c r="E30" i="36"/>
  <c r="I30" i="36" s="1"/>
  <c r="P34" i="33"/>
  <c r="P36" i="33" s="1"/>
  <c r="E43" i="36"/>
  <c r="I43" i="36" s="1"/>
  <c r="G34" i="33"/>
  <c r="G36" i="33" s="1"/>
  <c r="N34" i="33"/>
  <c r="N36" i="33" s="1"/>
  <c r="E28" i="36"/>
  <c r="I28" i="36" s="1"/>
  <c r="J34" i="33"/>
  <c r="J36" i="33" s="1"/>
  <c r="E21" i="36"/>
  <c r="I21" i="36" s="1"/>
  <c r="B34" i="33"/>
  <c r="C25" i="33"/>
  <c r="I34" i="37" l="1"/>
  <c r="H34" i="37"/>
  <c r="G34" i="37"/>
  <c r="F34" i="37"/>
  <c r="E34" i="37"/>
  <c r="L34" i="37"/>
  <c r="G33" i="37"/>
  <c r="L33" i="37"/>
  <c r="F33" i="37"/>
  <c r="E33" i="37"/>
  <c r="H33" i="37"/>
  <c r="I33" i="37"/>
  <c r="M32" i="37"/>
  <c r="N32" i="37" s="1"/>
  <c r="B40" i="25"/>
  <c r="E40" i="25" s="1"/>
  <c r="B40" i="24" s="1"/>
  <c r="E40" i="24" s="1"/>
  <c r="B40" i="23" s="1"/>
  <c r="E40" i="23" s="1"/>
  <c r="B40" i="22" s="1"/>
  <c r="E40" i="22" s="1"/>
  <c r="B39" i="25"/>
  <c r="E39" i="25" s="1"/>
  <c r="B39" i="24" s="1"/>
  <c r="E39" i="24" s="1"/>
  <c r="B39" i="23" s="1"/>
  <c r="E39" i="23" s="1"/>
  <c r="B39" i="22" s="1"/>
  <c r="E39" i="22" s="1"/>
  <c r="C81" i="10"/>
  <c r="E42" i="36"/>
  <c r="I42" i="36" s="1"/>
  <c r="E44" i="36"/>
  <c r="I44" i="36" s="1"/>
  <c r="C81" i="12"/>
  <c r="E26" i="36"/>
  <c r="I26" i="36" s="1"/>
  <c r="E24" i="36"/>
  <c r="I24" i="36" s="1"/>
  <c r="E18" i="36"/>
  <c r="I18" i="36" s="1"/>
  <c r="L35" i="37" l="1"/>
  <c r="M34" i="37"/>
  <c r="E35" i="37"/>
  <c r="H35" i="37"/>
  <c r="M33" i="37"/>
  <c r="N33" i="37" s="1"/>
  <c r="F35" i="37"/>
  <c r="K35" i="37"/>
  <c r="J35" i="37"/>
  <c r="G35" i="37"/>
  <c r="I35" i="37"/>
  <c r="Q74" i="33"/>
  <c r="N34" i="37" l="1"/>
  <c r="M35" i="37"/>
  <c r="N35" i="37" s="1"/>
  <c r="B39" i="21"/>
  <c r="E39" i="21" s="1"/>
  <c r="B40" i="21"/>
  <c r="E40" i="21" s="1"/>
  <c r="Q48" i="33"/>
  <c r="Q44" i="33"/>
  <c r="A61" i="33"/>
  <c r="B1" i="21"/>
  <c r="B39" i="20" l="1"/>
  <c r="E39" i="20" s="1"/>
  <c r="B39" i="19" s="1"/>
  <c r="E39" i="19" s="1"/>
  <c r="B39" i="18" s="1"/>
  <c r="E39" i="18" s="1"/>
  <c r="B39" i="17" s="1"/>
  <c r="E39" i="17" s="1"/>
  <c r="B39" i="16" s="1"/>
  <c r="E39" i="16" s="1"/>
  <c r="B39" i="2" s="1"/>
  <c r="E39" i="2" s="1"/>
  <c r="B39" i="15" s="1"/>
  <c r="E39" i="15" s="1"/>
  <c r="B39" i="3" s="1"/>
  <c r="E39" i="3" s="1"/>
  <c r="B39" i="4" s="1"/>
  <c r="E39" i="4" s="1"/>
  <c r="B39" i="5" s="1"/>
  <c r="E39" i="5" s="1"/>
  <c r="B39" i="6" s="1"/>
  <c r="E39" i="6" s="1"/>
  <c r="B39" i="7" s="1"/>
  <c r="E39" i="7" s="1"/>
  <c r="B39" i="8" s="1"/>
  <c r="E39" i="8" s="1"/>
  <c r="B39" i="9" s="1"/>
  <c r="E39" i="9" s="1"/>
  <c r="B39" i="10" s="1"/>
  <c r="E39" i="10" s="1"/>
  <c r="B39" i="11" s="1"/>
  <c r="E39" i="11" s="1"/>
  <c r="B39" i="12" s="1"/>
  <c r="E39" i="12" s="1"/>
  <c r="B39" i="13" s="1"/>
  <c r="E39" i="13" s="1"/>
  <c r="B39" i="14" s="1"/>
  <c r="E39" i="14" s="1"/>
  <c r="B40" i="20"/>
  <c r="E40" i="20" s="1"/>
  <c r="B1" i="22"/>
  <c r="B1" i="20"/>
  <c r="B1" i="19"/>
  <c r="B1" i="18"/>
  <c r="B1" i="17"/>
  <c r="B40" i="19" l="1"/>
  <c r="E40" i="19" s="1"/>
  <c r="D32" i="36"/>
  <c r="B40" i="18" l="1"/>
  <c r="E40" i="18" s="1"/>
  <c r="V71" i="33"/>
  <c r="A71" i="33"/>
  <c r="B40" i="17" l="1"/>
  <c r="E40" i="17" s="1"/>
  <c r="Q71" i="33"/>
  <c r="D46" i="36"/>
  <c r="C46" i="36"/>
  <c r="D45" i="36"/>
  <c r="C45" i="36"/>
  <c r="D44" i="36"/>
  <c r="C44" i="36"/>
  <c r="D43" i="36"/>
  <c r="C43" i="36"/>
  <c r="D42" i="36"/>
  <c r="C42" i="36"/>
  <c r="D41" i="36"/>
  <c r="C41" i="36"/>
  <c r="D40" i="36"/>
  <c r="C40" i="36"/>
  <c r="D39" i="36"/>
  <c r="C39" i="36"/>
  <c r="D38" i="36"/>
  <c r="C38" i="36"/>
  <c r="D37" i="36"/>
  <c r="C37" i="36"/>
  <c r="D36" i="36"/>
  <c r="C36" i="36"/>
  <c r="D35" i="36"/>
  <c r="C35" i="36"/>
  <c r="D34" i="36"/>
  <c r="C34" i="36"/>
  <c r="D33" i="36"/>
  <c r="C33" i="36"/>
  <c r="C32" i="36"/>
  <c r="D31" i="36"/>
  <c r="C31" i="36"/>
  <c r="D30" i="36"/>
  <c r="C30" i="36"/>
  <c r="D29" i="36"/>
  <c r="C29" i="36"/>
  <c r="D28" i="36"/>
  <c r="C28" i="36"/>
  <c r="D27" i="36"/>
  <c r="C27" i="36"/>
  <c r="D26" i="36"/>
  <c r="C26" i="36"/>
  <c r="D25" i="36"/>
  <c r="C25" i="36"/>
  <c r="D24" i="36"/>
  <c r="C24" i="36"/>
  <c r="D23" i="36"/>
  <c r="C23" i="36"/>
  <c r="D22" i="36"/>
  <c r="C22" i="36"/>
  <c r="D21" i="36"/>
  <c r="C21" i="36"/>
  <c r="D20" i="36"/>
  <c r="C20" i="36"/>
  <c r="D19" i="36"/>
  <c r="C19" i="36"/>
  <c r="D18" i="36"/>
  <c r="C18" i="36"/>
  <c r="E17" i="36"/>
  <c r="D17" i="36"/>
  <c r="C17" i="36"/>
  <c r="B17" i="36"/>
  <c r="E16" i="36"/>
  <c r="I16" i="36" s="1"/>
  <c r="D16" i="36"/>
  <c r="C16" i="36"/>
  <c r="B16" i="36"/>
  <c r="A16" i="36"/>
  <c r="B40" i="16" l="1"/>
  <c r="E40" i="16" s="1"/>
  <c r="D47" i="36"/>
  <c r="C47" i="36"/>
  <c r="E47" i="36"/>
  <c r="E48" i="36" s="1"/>
  <c r="I17" i="36"/>
  <c r="B40" i="2" l="1"/>
  <c r="E40" i="2" s="1"/>
  <c r="V72" i="33"/>
  <c r="A72" i="33"/>
  <c r="B40" i="15" l="1"/>
  <c r="E40" i="15" s="1"/>
  <c r="Q72" i="33"/>
  <c r="B40" i="3" l="1"/>
  <c r="E40" i="3" s="1"/>
  <c r="Q59" i="33"/>
  <c r="B40" i="4" l="1"/>
  <c r="E40" i="4" s="1"/>
  <c r="Q55" i="33"/>
  <c r="B40" i="5" l="1"/>
  <c r="E40" i="5" s="1"/>
  <c r="B40" i="6" s="1"/>
  <c r="E40" i="6" s="1"/>
  <c r="B40" i="7" s="1"/>
  <c r="E40" i="7" s="1"/>
  <c r="B40" i="8" s="1"/>
  <c r="E40" i="8" s="1"/>
  <c r="B40" i="9" s="1"/>
  <c r="E40" i="9" s="1"/>
  <c r="B40" i="10" s="1"/>
  <c r="E40" i="10" s="1"/>
  <c r="B40" i="11" s="1"/>
  <c r="E40" i="11" s="1"/>
  <c r="B40" i="12" s="1"/>
  <c r="E40" i="12" s="1"/>
  <c r="B40" i="13" s="1"/>
  <c r="E40" i="13" s="1"/>
  <c r="B40" i="14" s="1"/>
  <c r="E40" i="14" s="1"/>
  <c r="B1" i="5"/>
  <c r="B1" i="2" l="1"/>
  <c r="B1" i="16" l="1"/>
  <c r="K5" i="27" l="1"/>
  <c r="K7" i="27" s="1"/>
  <c r="K34" i="27"/>
  <c r="K40" i="27" l="1"/>
  <c r="K41" i="27" s="1"/>
  <c r="Q54" i="33" l="1"/>
  <c r="Q43" i="33" l="1"/>
  <c r="B1" i="14" l="1"/>
  <c r="B1" i="8"/>
  <c r="V70" i="33"/>
  <c r="T76" i="33"/>
  <c r="K32" i="23"/>
  <c r="A1" i="31"/>
  <c r="B1" i="25"/>
  <c r="B1" i="31"/>
  <c r="Q79" i="33"/>
  <c r="B1" i="13"/>
  <c r="B1" i="12"/>
  <c r="B1" i="11"/>
  <c r="B1" i="10"/>
  <c r="B1" i="9"/>
  <c r="B1" i="7"/>
  <c r="B1" i="6"/>
  <c r="B1" i="3"/>
  <c r="B1" i="15"/>
  <c r="B1" i="23"/>
  <c r="B1" i="24"/>
  <c r="B1" i="26"/>
  <c r="B1" i="27"/>
  <c r="B1" i="28"/>
  <c r="B1" i="29"/>
  <c r="B1" i="30"/>
  <c r="K19" i="20"/>
  <c r="A70" i="33"/>
  <c r="A69" i="33"/>
  <c r="A68" i="33"/>
  <c r="A67" i="33"/>
  <c r="C2" i="33"/>
  <c r="D2" i="33" s="1"/>
  <c r="L14" i="8"/>
  <c r="L8" i="8"/>
  <c r="A63" i="33"/>
  <c r="A62" i="33"/>
  <c r="A21" i="34" l="1"/>
  <c r="A26" i="34"/>
  <c r="A19" i="34"/>
  <c r="A18" i="34"/>
  <c r="A23" i="34"/>
  <c r="A28" i="34"/>
  <c r="A24" i="34"/>
  <c r="A17" i="34"/>
  <c r="A22" i="34"/>
  <c r="A27" i="34"/>
  <c r="A16" i="34"/>
  <c r="A20" i="34"/>
  <c r="A25" i="34"/>
  <c r="E2" i="33"/>
  <c r="F2" i="33" s="1"/>
  <c r="G2" i="33" s="1"/>
  <c r="H2" i="33" s="1"/>
  <c r="I2" i="33" s="1"/>
  <c r="J2" i="33" s="1"/>
  <c r="K2" i="33" s="1"/>
  <c r="L2" i="33" s="1"/>
  <c r="M2" i="33" s="1"/>
  <c r="N2" i="33" s="1"/>
  <c r="O2" i="33" s="1"/>
  <c r="P2" i="33" s="1"/>
  <c r="Q2" i="33" s="1"/>
  <c r="B39" i="33" s="1"/>
  <c r="C39" i="33" s="1"/>
  <c r="D39" i="33" s="1"/>
  <c r="E39" i="33" s="1"/>
  <c r="F39" i="33" s="1"/>
  <c r="G39" i="33" s="1"/>
  <c r="H39" i="33" s="1"/>
  <c r="I39" i="33" s="1"/>
  <c r="J39" i="33" s="1"/>
  <c r="K39" i="33" s="1"/>
  <c r="L39" i="33" s="1"/>
  <c r="M39" i="33" s="1"/>
  <c r="N39" i="33" s="1"/>
  <c r="O39" i="33" s="1"/>
  <c r="P39" i="33" s="1"/>
  <c r="Q70" i="33"/>
  <c r="A1" i="30"/>
  <c r="A17" i="36"/>
  <c r="C78" i="33"/>
  <c r="B36" i="33"/>
  <c r="Q40" i="33"/>
  <c r="Q57" i="33"/>
  <c r="Q45" i="33"/>
  <c r="Q41" i="33"/>
  <c r="Q62" i="33"/>
  <c r="S62" i="33" s="1"/>
  <c r="Q52" i="33"/>
  <c r="Q56" i="33"/>
  <c r="Q63" i="33"/>
  <c r="Q68" i="33"/>
  <c r="Q49" i="33"/>
  <c r="Q69" i="33"/>
  <c r="Q64" i="33"/>
  <c r="Q67" i="33"/>
  <c r="Q46" i="33"/>
  <c r="Q61" i="33"/>
  <c r="A37" i="34" l="1"/>
  <c r="A31" i="34"/>
  <c r="A30" i="34"/>
  <c r="A35" i="34"/>
  <c r="A29" i="34"/>
  <c r="A39" i="34"/>
  <c r="A40" i="34"/>
  <c r="A34" i="34"/>
  <c r="A33" i="34"/>
  <c r="A38" i="34"/>
  <c r="A36" i="34"/>
  <c r="A41" i="34"/>
  <c r="A32" i="34"/>
  <c r="Q89" i="33"/>
  <c r="Q88" i="33"/>
  <c r="V69" i="33"/>
  <c r="W69" i="33" s="1"/>
  <c r="Q93" i="33"/>
  <c r="C13" i="36"/>
  <c r="A1" i="29"/>
  <c r="A18" i="36"/>
  <c r="Q73" i="33"/>
  <c r="T77" i="33"/>
  <c r="B23" i="33"/>
  <c r="A53" i="34" l="1"/>
  <c r="A42" i="34"/>
  <c r="A47" i="34"/>
  <c r="A46" i="34"/>
  <c r="A44" i="34"/>
  <c r="A51" i="34"/>
  <c r="A50" i="34"/>
  <c r="A45" i="34"/>
  <c r="A49" i="34"/>
  <c r="A54" i="34"/>
  <c r="A43" i="34"/>
  <c r="A52" i="34"/>
  <c r="A48" i="34"/>
  <c r="Q81" i="33"/>
  <c r="F42" i="36"/>
  <c r="G42" i="36" s="1"/>
  <c r="F34" i="36"/>
  <c r="G34" i="36" s="1"/>
  <c r="F26" i="36"/>
  <c r="G26" i="36" s="1"/>
  <c r="F18" i="36"/>
  <c r="G18" i="36" s="1"/>
  <c r="F39" i="36"/>
  <c r="G39" i="36" s="1"/>
  <c r="F31" i="36"/>
  <c r="G31" i="36" s="1"/>
  <c r="F23" i="36"/>
  <c r="G23" i="36" s="1"/>
  <c r="F30" i="36"/>
  <c r="G30" i="36" s="1"/>
  <c r="F22" i="36"/>
  <c r="G22" i="36" s="1"/>
  <c r="F44" i="36"/>
  <c r="G44" i="36" s="1"/>
  <c r="F27" i="36"/>
  <c r="G27" i="36" s="1"/>
  <c r="F41" i="36"/>
  <c r="G41" i="36" s="1"/>
  <c r="F33" i="36"/>
  <c r="G33" i="36" s="1"/>
  <c r="F25" i="36"/>
  <c r="G25" i="36" s="1"/>
  <c r="F17" i="36"/>
  <c r="G17" i="36" s="1"/>
  <c r="F38" i="36"/>
  <c r="G38" i="36" s="1"/>
  <c r="F45" i="36"/>
  <c r="G45" i="36" s="1"/>
  <c r="F37" i="36"/>
  <c r="G37" i="36" s="1"/>
  <c r="F29" i="36"/>
  <c r="G29" i="36" s="1"/>
  <c r="F21" i="36"/>
  <c r="G21" i="36" s="1"/>
  <c r="F36" i="36"/>
  <c r="G36" i="36" s="1"/>
  <c r="F28" i="36"/>
  <c r="G28" i="36" s="1"/>
  <c r="F20" i="36"/>
  <c r="G20" i="36" s="1"/>
  <c r="F35" i="36"/>
  <c r="G35" i="36" s="1"/>
  <c r="F19" i="36"/>
  <c r="G19" i="36" s="1"/>
  <c r="F40" i="36"/>
  <c r="G40" i="36" s="1"/>
  <c r="F32" i="36"/>
  <c r="G32" i="36" s="1"/>
  <c r="F24" i="36"/>
  <c r="G24" i="36" s="1"/>
  <c r="F16" i="36"/>
  <c r="F43" i="36"/>
  <c r="G43" i="36" s="1"/>
  <c r="A1" i="28"/>
  <c r="A19" i="36"/>
  <c r="G46" i="36"/>
  <c r="Q60" i="33"/>
  <c r="T61" i="33" s="1"/>
  <c r="A58" i="34" l="1"/>
  <c r="A63" i="34"/>
  <c r="A62" i="34"/>
  <c r="A67" i="34"/>
  <c r="A66" i="34"/>
  <c r="A56" i="34"/>
  <c r="A61" i="34"/>
  <c r="A55" i="34"/>
  <c r="A60" i="34"/>
  <c r="A65" i="34"/>
  <c r="A59" i="34"/>
  <c r="A57" i="34"/>
  <c r="A64" i="34"/>
  <c r="R65" i="33"/>
  <c r="R66" i="33"/>
  <c r="R74" i="33"/>
  <c r="R71" i="33"/>
  <c r="T71" i="33" s="1"/>
  <c r="R72" i="33"/>
  <c r="T72" i="33" s="1"/>
  <c r="R68" i="33"/>
  <c r="T68" i="33" s="1"/>
  <c r="R67" i="33"/>
  <c r="T67" i="33" s="1"/>
  <c r="R70" i="33"/>
  <c r="T70" i="33" s="1"/>
  <c r="R69" i="33"/>
  <c r="T69" i="33" s="1"/>
  <c r="R64" i="33"/>
  <c r="R73" i="33"/>
  <c r="F47" i="36"/>
  <c r="G16" i="36"/>
  <c r="G47" i="36" s="1"/>
  <c r="A1" i="27"/>
  <c r="A20" i="36"/>
  <c r="Q80" i="33"/>
  <c r="V60" i="33"/>
  <c r="S73" i="33"/>
  <c r="A80" i="34" l="1"/>
  <c r="A74" i="34"/>
  <c r="A73" i="34"/>
  <c r="A77" i="34"/>
  <c r="A78" i="34"/>
  <c r="A71" i="34"/>
  <c r="A72" i="34"/>
  <c r="A76" i="34"/>
  <c r="A70" i="34"/>
  <c r="A75" i="34"/>
  <c r="A79" i="34"/>
  <c r="A68" i="34"/>
  <c r="T64" i="33"/>
  <c r="A1" i="26"/>
  <c r="A21" i="36"/>
  <c r="A85" i="34" l="1"/>
  <c r="A90" i="34"/>
  <c r="A89" i="34"/>
  <c r="A87" i="34"/>
  <c r="A83" i="34"/>
  <c r="A88" i="34"/>
  <c r="A93" i="34"/>
  <c r="A82" i="34"/>
  <c r="A92" i="34"/>
  <c r="A81" i="34"/>
  <c r="A86" i="34"/>
  <c r="A91" i="34"/>
  <c r="A84" i="34"/>
  <c r="A1" i="25"/>
  <c r="A22" i="36"/>
  <c r="A96" i="34" l="1"/>
  <c r="A101" i="34"/>
  <c r="A106" i="34"/>
  <c r="A105" i="34"/>
  <c r="A94" i="34"/>
  <c r="A98" i="34"/>
  <c r="A99" i="34"/>
  <c r="A104" i="34"/>
  <c r="A103" i="34"/>
  <c r="A97" i="34"/>
  <c r="A102" i="34"/>
  <c r="A100" i="34"/>
  <c r="A95" i="34"/>
  <c r="A1" i="24"/>
  <c r="A23" i="36"/>
  <c r="A112" i="34" l="1"/>
  <c r="A117" i="34"/>
  <c r="A110" i="34"/>
  <c r="A114" i="34"/>
  <c r="A119" i="34"/>
  <c r="A115" i="34"/>
  <c r="A109" i="34"/>
  <c r="A108" i="34"/>
  <c r="A113" i="34"/>
  <c r="A118" i="34"/>
  <c r="A116" i="34"/>
  <c r="A111" i="34"/>
  <c r="A107" i="34"/>
  <c r="A1" i="23"/>
  <c r="A24" i="36"/>
  <c r="A1" i="22" l="1"/>
  <c r="A128" i="34"/>
  <c r="A122" i="34"/>
  <c r="A121" i="34"/>
  <c r="A125" i="34"/>
  <c r="A126" i="34"/>
  <c r="A131" i="34"/>
  <c r="A120" i="34"/>
  <c r="A130" i="34"/>
  <c r="A124" i="34"/>
  <c r="A129" i="34"/>
  <c r="A127" i="34"/>
  <c r="A132" i="34"/>
  <c r="A123" i="34"/>
  <c r="A1" i="21"/>
  <c r="A25" i="36"/>
  <c r="A1" i="20" l="1"/>
  <c r="A149" i="34"/>
  <c r="A154" i="34"/>
  <c r="A153" i="34"/>
  <c r="A157" i="34"/>
  <c r="A146" i="34"/>
  <c r="A158" i="34"/>
  <c r="A151" i="34"/>
  <c r="A147" i="34"/>
  <c r="A152" i="34"/>
  <c r="A156" i="34"/>
  <c r="A150" i="34"/>
  <c r="A148" i="34"/>
  <c r="A155" i="34"/>
  <c r="A144" i="34"/>
  <c r="A133" i="34"/>
  <c r="A138" i="34"/>
  <c r="A137" i="34"/>
  <c r="A142" i="34"/>
  <c r="A141" i="34"/>
  <c r="A136" i="34"/>
  <c r="A135" i="34"/>
  <c r="A140" i="34"/>
  <c r="A145" i="34"/>
  <c r="A134" i="34"/>
  <c r="A139" i="34"/>
  <c r="A143" i="34"/>
  <c r="A26" i="36"/>
  <c r="A1" i="19" l="1"/>
  <c r="A160" i="34"/>
  <c r="A165" i="34"/>
  <c r="A170" i="34"/>
  <c r="A169" i="34"/>
  <c r="A167" i="34"/>
  <c r="A162" i="34"/>
  <c r="A163" i="34"/>
  <c r="A168" i="34"/>
  <c r="A161" i="34"/>
  <c r="A166" i="34"/>
  <c r="A164" i="34"/>
  <c r="A159" i="34"/>
  <c r="A171" i="34"/>
  <c r="A27" i="36"/>
  <c r="A1" i="18" l="1"/>
  <c r="A176" i="34"/>
  <c r="A181" i="34"/>
  <c r="A178" i="34"/>
  <c r="A174" i="34"/>
  <c r="A179" i="34"/>
  <c r="A184" i="34"/>
  <c r="A173" i="34"/>
  <c r="A183" i="34"/>
  <c r="A172" i="34"/>
  <c r="A177" i="34"/>
  <c r="A182" i="34"/>
  <c r="A175" i="34"/>
  <c r="A180" i="34"/>
  <c r="A28" i="36"/>
  <c r="A1" i="17" l="1"/>
  <c r="A192" i="34"/>
  <c r="A197" i="34"/>
  <c r="A186" i="34"/>
  <c r="A191" i="34"/>
  <c r="A185" i="34"/>
  <c r="A190" i="34"/>
  <c r="A189" i="34"/>
  <c r="A195" i="34"/>
  <c r="A194" i="34"/>
  <c r="A188" i="34"/>
  <c r="A193" i="34"/>
  <c r="A196" i="34"/>
  <c r="A187" i="34"/>
  <c r="A29" i="36"/>
  <c r="A208" i="34" l="1"/>
  <c r="A202" i="34"/>
  <c r="A207" i="34"/>
  <c r="A201" i="34"/>
  <c r="A206" i="34"/>
  <c r="A210" i="34"/>
  <c r="A200" i="34"/>
  <c r="A205" i="34"/>
  <c r="A199" i="34"/>
  <c r="A204" i="34"/>
  <c r="A209" i="34"/>
  <c r="A198" i="34"/>
  <c r="A203" i="34"/>
  <c r="A30" i="36"/>
  <c r="A1" i="16" l="1"/>
  <c r="A31" i="36"/>
  <c r="A213" i="34" l="1"/>
  <c r="A218" i="34"/>
  <c r="A223" i="34"/>
  <c r="A217" i="34"/>
  <c r="A222" i="34"/>
  <c r="A221" i="34"/>
  <c r="A215" i="34"/>
  <c r="A211" i="34"/>
  <c r="A216" i="34"/>
  <c r="A220" i="34"/>
  <c r="A214" i="34"/>
  <c r="A212" i="34"/>
  <c r="A219" i="34"/>
  <c r="A1" i="2"/>
  <c r="A32" i="36"/>
  <c r="A33" i="36" l="1"/>
  <c r="A224" i="34"/>
  <c r="A229" i="34"/>
  <c r="A234" i="34"/>
  <c r="A233" i="34"/>
  <c r="A226" i="34"/>
  <c r="A231" i="34"/>
  <c r="A227" i="34"/>
  <c r="A232" i="34"/>
  <c r="A236" i="34"/>
  <c r="A225" i="34"/>
  <c r="A230" i="34"/>
  <c r="A235" i="34"/>
  <c r="A228" i="34"/>
  <c r="A1" i="15"/>
  <c r="A240" i="34" l="1"/>
  <c r="A245" i="34"/>
  <c r="A239" i="34"/>
  <c r="A249" i="34"/>
  <c r="A237" i="34"/>
  <c r="A238" i="34"/>
  <c r="A242" i="34"/>
  <c r="A247" i="34"/>
  <c r="A243" i="34"/>
  <c r="A248" i="34"/>
  <c r="A241" i="34"/>
  <c r="A246" i="34"/>
  <c r="A244" i="34"/>
  <c r="A1" i="3"/>
  <c r="A34" i="36"/>
  <c r="A256" i="34" l="1"/>
  <c r="A261" i="34"/>
  <c r="A250" i="34"/>
  <c r="A255" i="34"/>
  <c r="A258" i="34"/>
  <c r="A254" i="34"/>
  <c r="A259" i="34"/>
  <c r="A253" i="34"/>
  <c r="A252" i="34"/>
  <c r="A257" i="34"/>
  <c r="A262" i="34"/>
  <c r="A251" i="34"/>
  <c r="A260" i="34"/>
  <c r="A1" i="4"/>
  <c r="A35" i="36"/>
  <c r="A272" i="34" l="1"/>
  <c r="A266" i="34"/>
  <c r="A271" i="34"/>
  <c r="A265" i="34"/>
  <c r="A270" i="34"/>
  <c r="A269" i="34"/>
  <c r="A274" i="34"/>
  <c r="A275" i="34"/>
  <c r="A264" i="34"/>
  <c r="A263" i="34"/>
  <c r="A268" i="34"/>
  <c r="A273" i="34"/>
  <c r="A267" i="34"/>
  <c r="A36" i="36"/>
  <c r="A1" i="5"/>
  <c r="A288" i="34" l="1"/>
  <c r="A277" i="34"/>
  <c r="A282" i="34"/>
  <c r="A287" i="34"/>
  <c r="A281" i="34"/>
  <c r="A285" i="34"/>
  <c r="A279" i="34"/>
  <c r="A286" i="34"/>
  <c r="A280" i="34"/>
  <c r="A284" i="34"/>
  <c r="A278" i="34"/>
  <c r="A283" i="34"/>
  <c r="A276" i="34"/>
  <c r="A1" i="6"/>
  <c r="A37" i="36"/>
  <c r="A293" i="34" l="1"/>
  <c r="A298" i="34"/>
  <c r="A297" i="34"/>
  <c r="A295" i="34"/>
  <c r="A291" i="34"/>
  <c r="A296" i="34"/>
  <c r="A301" i="34"/>
  <c r="A290" i="34"/>
  <c r="A300" i="34"/>
  <c r="A289" i="34"/>
  <c r="A294" i="34"/>
  <c r="A299" i="34"/>
  <c r="A292" i="34"/>
  <c r="A1" i="7"/>
  <c r="A38" i="36"/>
  <c r="A304" i="34" l="1"/>
  <c r="A309" i="34"/>
  <c r="A314" i="34"/>
  <c r="A303" i="34"/>
  <c r="A313" i="34"/>
  <c r="A306" i="34"/>
  <c r="A302" i="34"/>
  <c r="A311" i="34"/>
  <c r="A307" i="34"/>
  <c r="A312" i="34"/>
  <c r="A305" i="34"/>
  <c r="A310" i="34"/>
  <c r="A308" i="34"/>
  <c r="A1" i="8"/>
  <c r="A39" i="36"/>
  <c r="A320" i="34" l="1"/>
  <c r="A325" i="34"/>
  <c r="A319" i="34"/>
  <c r="A318" i="34"/>
  <c r="A317" i="34"/>
  <c r="A322" i="34"/>
  <c r="A323" i="34"/>
  <c r="A327" i="34"/>
  <c r="A316" i="34"/>
  <c r="A321" i="34"/>
  <c r="A326" i="34"/>
  <c r="A315" i="34"/>
  <c r="A324" i="34"/>
  <c r="A1" i="9"/>
  <c r="A40" i="36"/>
  <c r="A336" i="34" l="1"/>
  <c r="A330" i="34"/>
  <c r="A335" i="34"/>
  <c r="A329" i="34"/>
  <c r="A338" i="34"/>
  <c r="A334" i="34"/>
  <c r="A339" i="34"/>
  <c r="A328" i="34"/>
  <c r="A333" i="34"/>
  <c r="A332" i="34"/>
  <c r="A337" i="34"/>
  <c r="A331" i="34"/>
  <c r="A340" i="34"/>
  <c r="A1" i="10"/>
  <c r="A41" i="36"/>
  <c r="A352" i="34" l="1"/>
  <c r="A341" i="34"/>
  <c r="A346" i="34"/>
  <c r="A351" i="34"/>
  <c r="A345" i="34"/>
  <c r="A349" i="34"/>
  <c r="A343" i="34"/>
  <c r="A350" i="34"/>
  <c r="A344" i="34"/>
  <c r="A348" i="34"/>
  <c r="A353" i="34"/>
  <c r="A342" i="34"/>
  <c r="A347" i="34"/>
  <c r="A1" i="11"/>
  <c r="A42" i="36"/>
  <c r="A357" i="34" l="1"/>
  <c r="A362" i="34"/>
  <c r="A361" i="34"/>
  <c r="A359" i="34"/>
  <c r="A366" i="34"/>
  <c r="A365" i="34"/>
  <c r="A355" i="34"/>
  <c r="A360" i="34"/>
  <c r="A354" i="34"/>
  <c r="A364" i="34"/>
  <c r="A358" i="34"/>
  <c r="A363" i="34"/>
  <c r="A356" i="34"/>
  <c r="A1" i="12"/>
  <c r="A43" i="36"/>
  <c r="A368" i="34" l="1"/>
  <c r="A373" i="34"/>
  <c r="A378" i="34"/>
  <c r="A367" i="34"/>
  <c r="A377" i="34"/>
  <c r="A370" i="34"/>
  <c r="A375" i="34"/>
  <c r="A371" i="34"/>
  <c r="A376" i="34"/>
  <c r="A369" i="34"/>
  <c r="A374" i="34"/>
  <c r="A379" i="34"/>
  <c r="A372" i="34"/>
  <c r="A1" i="13"/>
  <c r="A44" i="36"/>
  <c r="A384" i="34" l="1"/>
  <c r="A389" i="34"/>
  <c r="A383" i="34"/>
  <c r="A381" i="34"/>
  <c r="A382" i="34"/>
  <c r="A386" i="34"/>
  <c r="A387" i="34"/>
  <c r="A392" i="34"/>
  <c r="A391" i="34"/>
  <c r="A380" i="34"/>
  <c r="A385" i="34"/>
  <c r="A390" i="34"/>
  <c r="A388" i="34"/>
  <c r="A1" i="14"/>
  <c r="A45" i="36"/>
  <c r="A400" i="34" l="1"/>
  <c r="A405" i="34"/>
  <c r="A399" i="34"/>
  <c r="A394" i="34"/>
  <c r="A393" i="34"/>
  <c r="A398" i="34"/>
  <c r="A397" i="34"/>
  <c r="A403" i="34"/>
  <c r="A402" i="34"/>
  <c r="A396" i="34"/>
  <c r="A401" i="34"/>
  <c r="A395" i="34"/>
  <c r="A404" i="34"/>
  <c r="A46" i="36"/>
  <c r="A37" i="25" l="1"/>
  <c r="D37" i="25" s="1"/>
  <c r="E37" i="25" s="1"/>
  <c r="F37" i="25" s="1"/>
  <c r="A37" i="24" l="1"/>
  <c r="D37" i="24" s="1"/>
  <c r="E37" i="24" s="1"/>
  <c r="A37" i="23" s="1"/>
  <c r="D37" i="23" s="1"/>
  <c r="E37" i="23" s="1"/>
  <c r="F37" i="23" l="1"/>
  <c r="A37" i="22"/>
  <c r="D37" i="22" s="1"/>
  <c r="E37" i="22" s="1"/>
  <c r="F37" i="22" s="1"/>
  <c r="F37" i="24"/>
  <c r="A37" i="21" l="1"/>
  <c r="D37" i="21" s="1"/>
  <c r="E37" i="21" s="1"/>
  <c r="A37" i="20" s="1"/>
  <c r="D37" i="20" s="1"/>
  <c r="E37" i="20" s="1"/>
  <c r="F37" i="20" l="1"/>
  <c r="A37" i="19"/>
  <c r="D37" i="19" s="1"/>
  <c r="E37" i="19" s="1"/>
  <c r="F37" i="21"/>
  <c r="F37" i="19" l="1"/>
  <c r="A37" i="18"/>
  <c r="D37" i="18" s="1"/>
  <c r="E37" i="18" s="1"/>
  <c r="F37" i="18" l="1"/>
  <c r="A37" i="17"/>
  <c r="D37" i="17" s="1"/>
  <c r="E37" i="17" s="1"/>
  <c r="F37" i="17" l="1"/>
  <c r="A37" i="16"/>
  <c r="D37" i="16" s="1"/>
  <c r="E37" i="16" s="1"/>
  <c r="F37" i="16" l="1"/>
  <c r="A37" i="2"/>
  <c r="D37" i="2" s="1"/>
  <c r="E37" i="2" s="1"/>
  <c r="F37" i="2" l="1"/>
  <c r="A37" i="15"/>
  <c r="D37" i="15" s="1"/>
  <c r="E37" i="15" s="1"/>
  <c r="F37" i="15" l="1"/>
  <c r="A37" i="3"/>
  <c r="D37" i="3" s="1"/>
  <c r="E37" i="3" s="1"/>
  <c r="F37" i="3" l="1"/>
  <c r="A37" i="4"/>
  <c r="D37" i="4" s="1"/>
  <c r="E37" i="4" s="1"/>
  <c r="F37" i="4" l="1"/>
  <c r="A37" i="5"/>
  <c r="D37" i="5" s="1"/>
  <c r="E37" i="5" s="1"/>
  <c r="F37" i="5" l="1"/>
  <c r="A37" i="6"/>
  <c r="D37" i="6" s="1"/>
  <c r="E37" i="6" s="1"/>
  <c r="A37" i="7" l="1"/>
  <c r="D37" i="7" s="1"/>
  <c r="E37" i="7" s="1"/>
  <c r="F37" i="6"/>
  <c r="A37" i="8" l="1"/>
  <c r="D37" i="8" s="1"/>
  <c r="E37" i="8" s="1"/>
  <c r="F37" i="7"/>
  <c r="A37" i="9" l="1"/>
  <c r="D37" i="9" s="1"/>
  <c r="E37" i="9" s="1"/>
  <c r="F37" i="8"/>
  <c r="A37" i="10" l="1"/>
  <c r="D37" i="10" s="1"/>
  <c r="E37" i="10" s="1"/>
  <c r="F37" i="9"/>
  <c r="F37" i="10" l="1"/>
  <c r="A37" i="11"/>
  <c r="D37" i="11" s="1"/>
  <c r="E37" i="11" s="1"/>
  <c r="A37" i="12" l="1"/>
  <c r="D37" i="12" s="1"/>
  <c r="E37" i="12" s="1"/>
  <c r="F37" i="11"/>
  <c r="F37" i="12" l="1"/>
  <c r="A37" i="13"/>
  <c r="D37" i="13" s="1"/>
  <c r="E37" i="13" s="1"/>
  <c r="F37" i="13" l="1"/>
  <c r="A37" i="14"/>
  <c r="D37" i="14" s="1"/>
  <c r="E37" i="14" s="1"/>
  <c r="F37" i="14" s="1"/>
</calcChain>
</file>

<file path=xl/sharedStrings.xml><?xml version="1.0" encoding="utf-8"?>
<sst xmlns="http://schemas.openxmlformats.org/spreadsheetml/2006/main" count="2161" uniqueCount="159">
  <si>
    <t>GÜNLÜK KREDİ KARTI</t>
  </si>
  <si>
    <t>GÜNLÜK NAKİT</t>
  </si>
  <si>
    <t>GÜNLÜK KASADAN HARCAMALAR TOPLAMI</t>
  </si>
  <si>
    <t>YÖNETİME TESLİM EDİLEN NAKİT TUTARI</t>
  </si>
  <si>
    <t>KASA NAKİT HARCAMA DETAYI</t>
  </si>
  <si>
    <t>ÖDENMEZ İKRAM TOPLAMI</t>
  </si>
  <si>
    <t>KASA TESLİMATI AÇIKLAMASI</t>
  </si>
  <si>
    <t>AÇIKLAMA</t>
  </si>
  <si>
    <t>TUTAR</t>
  </si>
  <si>
    <t>ÖDENMEZ İKRAMI KULLANAN ADI SAYADI</t>
  </si>
  <si>
    <t>ÇEK NO</t>
  </si>
  <si>
    <t>ÇEKİN İÇERİĞİ (ÜRÜN DETAYI</t>
  </si>
  <si>
    <t>ÖDENMEZİN TOPLAM TUTARI</t>
  </si>
  <si>
    <t>KAPANIŞ DEĞERLENDİRMESİ</t>
  </si>
  <si>
    <t>Raporu Hazırlayan Adı Soyadı</t>
  </si>
  <si>
    <t>BİLETİX MÜŞTERİ SAYISI</t>
  </si>
  <si>
    <t>KUVER SAYISI TOPLAMI</t>
  </si>
  <si>
    <t>GÜNLÜK TOPLAM CİRO</t>
  </si>
  <si>
    <t>SATIŞ FİYATI</t>
  </si>
  <si>
    <t>NAKİT VE KREDİ KARTI TOPLAMI</t>
  </si>
  <si>
    <t>TOPLAM</t>
  </si>
  <si>
    <t>BİLETİX GELİRİ</t>
  </si>
  <si>
    <t>Gn. Toplam</t>
  </si>
  <si>
    <t>FARK</t>
  </si>
  <si>
    <t>GÜNLÜK TOPLAM GELİR</t>
  </si>
  <si>
    <t>İŞLETME GİDERLERİ DETAYI</t>
  </si>
  <si>
    <t>SERVİS ÜCRETİ</t>
  </si>
  <si>
    <t>İŞLETME GİDERLERİ</t>
  </si>
  <si>
    <t>%10 SERVİS ÜCRETİ ÖDENECEK TUTAR</t>
  </si>
  <si>
    <t>İÇECEK SATIŞ VE ÖDENMEZ MALİYETİ</t>
  </si>
  <si>
    <t>TOPLAM GİDERLER</t>
  </si>
  <si>
    <t>KAR&amp;ZARAR</t>
  </si>
  <si>
    <t>SALON SATIŞ KİŞİ SAYISI</t>
  </si>
  <si>
    <t>DADA TT GÜN SONU RAPORU</t>
  </si>
  <si>
    <t>DADA  GÜN SONU RAPORU</t>
  </si>
  <si>
    <t>İÇECEK KDV Sİ</t>
  </si>
  <si>
    <t>% 10 SERVİS ÜCRETİ TOPLAMI</t>
  </si>
  <si>
    <t>HEDEF CİRO</t>
  </si>
  <si>
    <t>OTOPARK GELİRİ NAKİT</t>
  </si>
  <si>
    <t>OTOPARK GELİRİ KREDİ KARTI</t>
  </si>
  <si>
    <t>KİŞİ BAŞI GELİR</t>
  </si>
  <si>
    <t>KİŞİ BAŞI GİDER</t>
  </si>
  <si>
    <t>DADA SALON KABARETT GÜN SONU RAPORU</t>
  </si>
  <si>
    <t>PASSO BİLET GELİRİ</t>
  </si>
  <si>
    <t>PASSO BİLET</t>
  </si>
  <si>
    <t>ORT.K.BAŞI FİYAT</t>
  </si>
  <si>
    <t>CARİ HESAPLAR TOPLAMI</t>
  </si>
  <si>
    <t xml:space="preserve">CARİ HESAP </t>
  </si>
  <si>
    <t>PERSONEL YEMEK</t>
  </si>
  <si>
    <t>BİLETİNO MÜŞTERİ SAYISI</t>
  </si>
  <si>
    <t>BİLETİNO MÜŞTERİ SAYISI GELİRİ</t>
  </si>
  <si>
    <t>TOPLAM İŞLETME GİDERLERİ</t>
  </si>
  <si>
    <t>KİRA GİDERİ</t>
  </si>
  <si>
    <t>PERSONEL GİDERİ</t>
  </si>
  <si>
    <t>ARAÇ KİRALAMA</t>
  </si>
  <si>
    <t>REKLAM TANITIM GİDERİ</t>
  </si>
  <si>
    <t>BİLETİX, BİLETİNE VE PASSO BİLET KOMİSYON GİDERLERİ</t>
  </si>
  <si>
    <t>ELEKTRİK GİDERLERİ</t>
  </si>
  <si>
    <t>İLETİŞİM GİDERLERİ TELEFON, İNTERNET VE DİĞER</t>
  </si>
  <si>
    <t>İŞLETME AİDAT GİDERLERİ</t>
  </si>
  <si>
    <t>SARF MALZEME GİDERLERİ</t>
  </si>
  <si>
    <t>TARİH</t>
  </si>
  <si>
    <t>ORGANİZASYON ADI</t>
  </si>
  <si>
    <t>KİŞİ SAYISI</t>
  </si>
  <si>
    <t>CİRO</t>
  </si>
  <si>
    <t>DEĞİŞKEN GİDER TOPLAMI</t>
  </si>
  <si>
    <t>NET KAR</t>
  </si>
  <si>
    <t>GENEL TOPLAM</t>
  </si>
  <si>
    <t>CARİ AÇIKLAMASI</t>
  </si>
  <si>
    <t>DEVİR BAKİYESİ</t>
  </si>
  <si>
    <t>YENİ ALIM</t>
  </si>
  <si>
    <t>ÖDEME</t>
  </si>
  <si>
    <t>ÜRÜN DETAYI</t>
  </si>
  <si>
    <t>NURETTİN ATILMIŞ CARİSİ</t>
  </si>
  <si>
    <t>SON BAKİYESİ</t>
  </si>
  <si>
    <t>BİLETİNİ AL</t>
  </si>
  <si>
    <t>İçecek Maliyeti Kişi başı</t>
  </si>
  <si>
    <t>Sanatçı Maliyeti Kişi başı</t>
  </si>
  <si>
    <t>KASA AÇILIŞI TUTARI</t>
  </si>
  <si>
    <t>KASA ÇIKIŞI</t>
  </si>
  <si>
    <t>KASADA OLMASI GEREKEN TUTAR</t>
  </si>
  <si>
    <t>REEL KASA MEVCUDU</t>
  </si>
  <si>
    <t>YÖNETİMDEN GELEN TUTAR</t>
  </si>
  <si>
    <t>ANA KASA KAPANIŞ FARKI</t>
  </si>
  <si>
    <t>BİLETİNİ AL GELİRİ</t>
  </si>
  <si>
    <t>YEMEK GİDERİ</t>
  </si>
  <si>
    <t>PERSONEL YEMEK 40 ADET</t>
  </si>
  <si>
    <t>TUZ BİBER BİLET</t>
  </si>
  <si>
    <t>TUZ BİBER BİLET GELİRİ</t>
  </si>
  <si>
    <t>NOBİLET GELİRİ</t>
  </si>
  <si>
    <t>YÖNETİME TESLİM EDİLMESİ GEREKEN NAKİT TUTAR</t>
  </si>
  <si>
    <t>SALON NAKİT SATIŞ TUTARI</t>
  </si>
  <si>
    <t>SALON KREDİ KARTISATIŞ TUTARI</t>
  </si>
  <si>
    <t xml:space="preserve">YEMEK GİDERİ </t>
  </si>
  <si>
    <t>PERSONEL YEMEK GİDERİ</t>
  </si>
  <si>
    <t>SANATÇI GİDERİ</t>
  </si>
  <si>
    <t>TEKNİK EKİPMAN GİDERLERİ</t>
  </si>
  <si>
    <t xml:space="preserve">MATMAZEL COCO </t>
  </si>
  <si>
    <t>PERSONEL YEMEK 35 ADET</t>
  </si>
  <si>
    <t>BU BİLET</t>
  </si>
  <si>
    <t>BU BİLET MÜŞTERİ SAYISI</t>
  </si>
  <si>
    <t>BANKA KK KOMİSYON VE FAZİ GİDERLERİ</t>
  </si>
  <si>
    <t>PERSONEL YEMEK 55 ADET</t>
  </si>
  <si>
    <t>Batuhan ÖZEL</t>
  </si>
  <si>
    <t>YEMEK GİDERİ BİRLİK GIDA  224 SET MENÜ</t>
  </si>
  <si>
    <t>TEKNİK EKİPMAN GİDERLERİ ,30 BİSTRO,60 SANDELYE ,PHOTOBOOTH ,LED EKRAN, ,DJ KABİN</t>
  </si>
  <si>
    <t>YEMEK GİDERİ HOME STYLE KOKTEYL MENÜ 250 KISILIK</t>
  </si>
  <si>
    <t>YEMEK GİDERİ BİRLİK GIDA 133 SET MENÜ</t>
  </si>
  <si>
    <t>YEMEK GİDERİ  225 FİNGERFOOD  HOME STYLE.</t>
  </si>
  <si>
    <t xml:space="preserve">PERSONEL YEMEK </t>
  </si>
  <si>
    <t>İTİCKET</t>
  </si>
  <si>
    <t>DAVUL ÜCRETİ CARİSİ</t>
  </si>
  <si>
    <t>YEMEK GİDERİ BİRLİK GIDA  SET MENÜ</t>
  </si>
  <si>
    <t>YEMEK GİDERİ BİRLİK GIDA 117 SET MENÜ</t>
  </si>
  <si>
    <t>YEMEK GİDERİ  BİRLİK GIDA 203 + 5 DILIM PEYNIR SET MENÜ</t>
  </si>
  <si>
    <t>PERSONEL YEMEK 60 ADET</t>
  </si>
  <si>
    <t xml:space="preserve">YEMEK GİDERİ  BİRLİK GIDA 124 SET MENÜ+ 15 DILIM PEYNIR + 1 SET MEZE </t>
  </si>
  <si>
    <t>YEMEK GİDERİ  BİRLİK GIDA 140 ADET SET MENÜ ( 960 TL DEN)</t>
  </si>
  <si>
    <t>YEMEK GİDERİ  HOME STYLE  200 SET MENÜ ( 1,445 TL  KDV DAHIL  KISI BASI)</t>
  </si>
  <si>
    <t>SANATÇI GİDERİ MİRKELAM + FEHMİ</t>
  </si>
  <si>
    <t>YEMEK GİDERİ BIRLIK GIDA 105 SET MENÜ+ 2 ORDORV TABAĞI</t>
  </si>
  <si>
    <t>YEMEK GİDERİ BIRLIK GIDA 82 SET MENÜ</t>
  </si>
  <si>
    <t>YEMEK GİDERİ HOME STYLE  250 FINGERFOOD  MENÜ ( KİŞİ BAŞI : 1.155  TL KDV DAHİL )</t>
  </si>
  <si>
    <t>YEMEK GİDERİ  BIRLIK GIDA 162 SET MENU</t>
  </si>
  <si>
    <t>YEMEK GİDERİ  UMAMİ YEMEK 300 KİŞİ FİNGERFOOD   (KİŞİ BAŞI 770 TL KDV DAHIL,AYRICA EXTRA 300 KISILIK TON BALIKLI  WREPP FATURA EDILICEK TARAFIMIZA)</t>
  </si>
  <si>
    <t>YEMEK GİDERİ  BİRLİK GIDA 152 SET MENÜ + 4 DILIM PEYNIR +2 TABAK ORDORV</t>
  </si>
  <si>
    <t>YEMEK GİDERİBIRLIK GIDA  235 SET MENÜ</t>
  </si>
  <si>
    <t>YEMEK GİDERİ BİRLİK GIDA  190 KİŞİ (KISİ  BASI KDV DAHIL 880 TL )</t>
  </si>
  <si>
    <t>YEMEK GİDERİ BIRLIK GIDA 97 SET MENÜ + 1 ORDOVR TABAGI</t>
  </si>
  <si>
    <t>GÜNÜN SERVİS TUTARI</t>
  </si>
  <si>
    <t>GÜNLÜK PUANTAJ</t>
  </si>
  <si>
    <t>PUAN BAŞINA DÜŞEN HAKEDİŞ</t>
  </si>
  <si>
    <t>BERKAY AĞACIK</t>
  </si>
  <si>
    <t>AHMET TANRIVERDİ</t>
  </si>
  <si>
    <t>CANER ÖMÜR</t>
  </si>
  <si>
    <t>EMRAH SARIYEL</t>
  </si>
  <si>
    <t xml:space="preserve">AYŞE </t>
  </si>
  <si>
    <t>SİNAN AKSU</t>
  </si>
  <si>
    <t>TOLGA ÇAKIR</t>
  </si>
  <si>
    <t>NURETTİN ATILMIŞ</t>
  </si>
  <si>
    <t>TOPLAM PUAN</t>
  </si>
  <si>
    <t>SAĞLAMA</t>
  </si>
  <si>
    <t>İTİCKET GELİRİ</t>
  </si>
  <si>
    <t>YOK</t>
  </si>
  <si>
    <t>DADA SALON KABARETT HAZİRAN 2026 GELİR RAPORLARI</t>
  </si>
  <si>
    <t>HAZİRAN 2026 KASA NAKİT ÇIKIŞLARI</t>
  </si>
  <si>
    <t>HAZİRAN 2026 DÖNEMİ SERVİS DAĞILIM TABLOSU</t>
  </si>
  <si>
    <t xml:space="preserve">PERSONEL YOL </t>
  </si>
  <si>
    <t xml:space="preserve">EXTRA PERSONEL 3 KISI </t>
  </si>
  <si>
    <t>HAYATI AKSU</t>
  </si>
  <si>
    <t>MASA ORTUSU YIKAMA 32 ADET</t>
  </si>
  <si>
    <t>10 ADET LED AMPUL</t>
  </si>
  <si>
    <t xml:space="preserve">KABARET TEMIZLIGI </t>
  </si>
  <si>
    <t>ELEKTRIKCIYE SAHNE ISTIRIDYELERI ICIN ÖDEME</t>
  </si>
  <si>
    <t>BAR ICIN TOZ SEKER,YUMURTA ALIMI</t>
  </si>
  <si>
    <t xml:space="preserve">KOLI BANT 3 ADET </t>
  </si>
  <si>
    <t>BAR ICIN PEYNIR ALIMI</t>
  </si>
  <si>
    <t>YEMEK GİDERİ TUAL GIDA  36  SET MENÜ</t>
  </si>
  <si>
    <t>SEDA METE CANLI PERFORMANS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</si>
</sst>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₺&quot;#,##0.00"/>
    <numFmt numFmtId="165" formatCode="[$-F800]dddd\,\ mmmm\ dd\,\ yyyy"/>
    <numFmt numFmtId="166" formatCode="#,##0.00\ &quot;₺&quot;"/>
  </numFmts>
  <fonts count="2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Arial Black"/>
      <family val="2"/>
      <charset val="162"/>
    </font>
    <font>
      <sz val="11"/>
      <color rgb="FF7030A0"/>
      <name val="Arial Black"/>
      <family val="2"/>
      <charset val="162"/>
    </font>
    <font>
      <b/>
      <sz val="11"/>
      <color theme="1"/>
      <name val="Arial Black"/>
      <family val="2"/>
      <charset val="162"/>
    </font>
    <font>
      <b/>
      <sz val="11"/>
      <color theme="0"/>
      <name val="Calibri"/>
      <family val="2"/>
      <charset val="162"/>
      <scheme val="minor"/>
    </font>
    <font>
      <b/>
      <sz val="11"/>
      <color theme="0"/>
      <name val="Arial Black"/>
      <family val="2"/>
      <charset val="162"/>
    </font>
    <font>
      <sz val="11"/>
      <color theme="0"/>
      <name val="Arial Black"/>
      <family val="2"/>
      <charset val="162"/>
    </font>
    <font>
      <b/>
      <sz val="16"/>
      <color theme="0"/>
      <name val="Arial Black"/>
      <family val="2"/>
      <charset val="162"/>
    </font>
    <font>
      <b/>
      <sz val="16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rgb="FF7030A0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charset val="162"/>
      <scheme val="minor"/>
    </font>
    <font>
      <b/>
      <sz val="11"/>
      <color rgb="FF002060"/>
      <name val="Arial Black"/>
      <family val="2"/>
      <charset val="162"/>
    </font>
    <font>
      <sz val="11"/>
      <color rgb="FF00206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32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164" fontId="0" fillId="0" borderId="0" xfId="0" applyNumberFormat="1"/>
    <xf numFmtId="0" fontId="1" fillId="0" borderId="5" xfId="0" applyFont="1" applyBorder="1" applyAlignment="1">
      <alignment wrapText="1"/>
    </xf>
    <xf numFmtId="14" fontId="4" fillId="0" borderId="0" xfId="0" applyNumberFormat="1" applyFont="1" applyAlignment="1"/>
    <xf numFmtId="164" fontId="0" fillId="0" borderId="0" xfId="0" applyNumberFormat="1" applyAlignment="1">
      <alignment wrapText="1"/>
    </xf>
    <xf numFmtId="165" fontId="4" fillId="0" borderId="0" xfId="0" applyNumberFormat="1" applyFont="1" applyAlignment="1"/>
    <xf numFmtId="0" fontId="1" fillId="0" borderId="13" xfId="0" applyFont="1" applyBorder="1" applyAlignment="1">
      <alignment wrapText="1"/>
    </xf>
    <xf numFmtId="16" fontId="1" fillId="0" borderId="5" xfId="0" applyNumberFormat="1" applyFont="1" applyBorder="1"/>
    <xf numFmtId="16" fontId="1" fillId="0" borderId="14" xfId="0" applyNumberFormat="1" applyFont="1" applyBorder="1"/>
    <xf numFmtId="0" fontId="1" fillId="0" borderId="0" xfId="0" applyFont="1"/>
    <xf numFmtId="0" fontId="1" fillId="0" borderId="15" xfId="0" applyFont="1" applyBorder="1"/>
    <xf numFmtId="0" fontId="0" fillId="0" borderId="0" xfId="0" applyFont="1" applyAlignment="1"/>
    <xf numFmtId="164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3" fontId="1" fillId="3" borderId="10" xfId="0" applyNumberFormat="1" applyFont="1" applyFill="1" applyBorder="1"/>
    <xf numFmtId="0" fontId="1" fillId="0" borderId="11" xfId="0" applyFont="1" applyBorder="1" applyAlignment="1">
      <alignment wrapText="1"/>
    </xf>
    <xf numFmtId="3" fontId="1" fillId="3" borderId="11" xfId="0" applyNumberFormat="1" applyFont="1" applyFill="1" applyBorder="1"/>
    <xf numFmtId="164" fontId="1" fillId="0" borderId="11" xfId="0" applyNumberFormat="1" applyFont="1" applyBorder="1" applyAlignment="1">
      <alignment wrapText="1"/>
    </xf>
    <xf numFmtId="164" fontId="1" fillId="3" borderId="11" xfId="0" applyNumberFormat="1" applyFont="1" applyFill="1" applyBorder="1"/>
    <xf numFmtId="164" fontId="1" fillId="0" borderId="0" xfId="0" applyNumberFormat="1" applyFont="1"/>
    <xf numFmtId="164" fontId="1" fillId="0" borderId="12" xfId="0" applyNumberFormat="1" applyFont="1" applyBorder="1" applyAlignment="1">
      <alignment wrapText="1"/>
    </xf>
    <xf numFmtId="164" fontId="1" fillId="3" borderId="12" xfId="0" applyNumberFormat="1" applyFont="1" applyFill="1" applyBorder="1"/>
    <xf numFmtId="0" fontId="1" fillId="0" borderId="0" xfId="0" applyFont="1" applyAlignment="1">
      <alignment wrapText="1"/>
    </xf>
    <xf numFmtId="3" fontId="1" fillId="0" borderId="10" xfId="0" applyNumberFormat="1" applyFont="1" applyBorder="1"/>
    <xf numFmtId="3" fontId="1" fillId="0" borderId="11" xfId="0" applyNumberFormat="1" applyFont="1" applyBorder="1"/>
    <xf numFmtId="0" fontId="1" fillId="3" borderId="11" xfId="0" applyFont="1" applyFill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164" fontId="11" fillId="4" borderId="11" xfId="0" applyNumberFormat="1" applyFont="1" applyFill="1" applyBorder="1" applyAlignment="1">
      <alignment wrapText="1"/>
    </xf>
    <xf numFmtId="164" fontId="11" fillId="4" borderId="11" xfId="0" applyNumberFormat="1" applyFont="1" applyFill="1" applyBorder="1"/>
    <xf numFmtId="0" fontId="11" fillId="4" borderId="11" xfId="0" applyFont="1" applyFill="1" applyBorder="1" applyAlignment="1">
      <alignment wrapText="1"/>
    </xf>
    <xf numFmtId="164" fontId="1" fillId="0" borderId="5" xfId="0" applyNumberFormat="1" applyFont="1" applyBorder="1"/>
    <xf numFmtId="164" fontId="1" fillId="3" borderId="10" xfId="0" applyNumberFormat="1" applyFont="1" applyFill="1" applyBorder="1"/>
    <xf numFmtId="164" fontId="1" fillId="0" borderId="10" xfId="0" applyNumberFormat="1" applyFont="1" applyBorder="1" applyAlignment="1">
      <alignment wrapText="1"/>
    </xf>
    <xf numFmtId="10" fontId="1" fillId="0" borderId="0" xfId="0" applyNumberFormat="1" applyFont="1"/>
    <xf numFmtId="164" fontId="0" fillId="0" borderId="0" xfId="0" applyNumberFormat="1" applyAlignment="1"/>
    <xf numFmtId="0" fontId="5" fillId="2" borderId="5" xfId="0" applyFont="1" applyFill="1" applyBorder="1" applyAlignment="1">
      <alignment wrapText="1"/>
    </xf>
    <xf numFmtId="164" fontId="5" fillId="2" borderId="5" xfId="0" applyNumberFormat="1" applyFont="1" applyFill="1" applyBorder="1"/>
    <xf numFmtId="166" fontId="12" fillId="2" borderId="5" xfId="0" applyNumberFormat="1" applyFont="1" applyFill="1" applyBorder="1"/>
    <xf numFmtId="164" fontId="4" fillId="0" borderId="0" xfId="0" applyNumberFormat="1" applyFont="1"/>
    <xf numFmtId="0" fontId="0" fillId="0" borderId="0" xfId="0" applyAlignment="1"/>
    <xf numFmtId="165" fontId="4" fillId="0" borderId="0" xfId="0" applyNumberFormat="1" applyFont="1" applyAlignment="1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64" fontId="0" fillId="0" borderId="9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1" fontId="0" fillId="0" borderId="10" xfId="0" applyNumberFormat="1" applyBorder="1" applyAlignment="1">
      <alignment wrapText="1"/>
    </xf>
    <xf numFmtId="1" fontId="0" fillId="0" borderId="11" xfId="0" applyNumberFormat="1" applyBorder="1" applyAlignment="1">
      <alignment wrapText="1"/>
    </xf>
    <xf numFmtId="1" fontId="0" fillId="0" borderId="12" xfId="0" applyNumberForma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164" fontId="1" fillId="0" borderId="5" xfId="0" applyNumberFormat="1" applyFont="1" applyBorder="1" applyAlignment="1">
      <alignment wrapText="1"/>
    </xf>
    <xf numFmtId="164" fontId="6" fillId="2" borderId="5" xfId="0" applyNumberFormat="1" applyFont="1" applyFill="1" applyBorder="1"/>
    <xf numFmtId="0" fontId="1" fillId="0" borderId="11" xfId="0" applyFont="1" applyBorder="1" applyAlignment="1">
      <alignment wrapText="1"/>
    </xf>
    <xf numFmtId="164" fontId="1" fillId="0" borderId="11" xfId="0" applyNumberFormat="1" applyFont="1" applyBorder="1"/>
    <xf numFmtId="164" fontId="1" fillId="0" borderId="12" xfId="0" applyNumberFormat="1" applyFont="1" applyBorder="1"/>
    <xf numFmtId="0" fontId="1" fillId="0" borderId="5" xfId="0" applyFont="1" applyBorder="1"/>
    <xf numFmtId="164" fontId="1" fillId="0" borderId="5" xfId="0" applyNumberFormat="1" applyFont="1" applyBorder="1"/>
    <xf numFmtId="164" fontId="0" fillId="0" borderId="11" xfId="0" applyNumberFormat="1" applyBorder="1"/>
    <xf numFmtId="0" fontId="0" fillId="0" borderId="7" xfId="0" applyBorder="1" applyAlignment="1">
      <alignment wrapText="1"/>
    </xf>
    <xf numFmtId="0" fontId="5" fillId="2" borderId="13" xfId="0" applyFont="1" applyFill="1" applyBorder="1" applyAlignment="1">
      <alignment wrapText="1"/>
    </xf>
    <xf numFmtId="164" fontId="5" fillId="2" borderId="5" xfId="0" applyNumberFormat="1" applyFont="1" applyFill="1" applyBorder="1" applyAlignment="1">
      <alignment wrapText="1"/>
    </xf>
    <xf numFmtId="164" fontId="10" fillId="2" borderId="5" xfId="0" applyNumberFormat="1" applyFont="1" applyFill="1" applyBorder="1"/>
    <xf numFmtId="164" fontId="0" fillId="0" borderId="11" xfId="0" applyNumberFormat="1" applyBorder="1" applyAlignment="1">
      <alignment vertical="center" wrapText="1"/>
    </xf>
    <xf numFmtId="164" fontId="0" fillId="0" borderId="11" xfId="0" applyNumberFormat="1" applyBorder="1" applyAlignment="1">
      <alignment wrapText="1"/>
    </xf>
    <xf numFmtId="0" fontId="0" fillId="0" borderId="7" xfId="0" applyBorder="1"/>
    <xf numFmtId="0" fontId="0" fillId="0" borderId="0" xfId="0" applyBorder="1"/>
    <xf numFmtId="164" fontId="0" fillId="0" borderId="12" xfId="0" applyNumberFormat="1" applyBorder="1" applyAlignment="1">
      <alignment wrapText="1"/>
    </xf>
    <xf numFmtId="0" fontId="0" fillId="0" borderId="21" xfId="0" applyBorder="1"/>
    <xf numFmtId="164" fontId="0" fillId="0" borderId="22" xfId="0" applyNumberFormat="1" applyBorder="1"/>
    <xf numFmtId="0" fontId="1" fillId="0" borderId="13" xfId="0" applyFont="1" applyBorder="1"/>
    <xf numFmtId="0" fontId="1" fillId="0" borderId="5" xfId="0" applyFont="1" applyBorder="1" applyAlignment="1">
      <alignment horizontal="center"/>
    </xf>
    <xf numFmtId="164" fontId="1" fillId="0" borderId="10" xfId="0" applyNumberFormat="1" applyFont="1" applyBorder="1"/>
    <xf numFmtId="0" fontId="1" fillId="0" borderId="11" xfId="0" applyFont="1" applyBorder="1"/>
    <xf numFmtId="0" fontId="1" fillId="0" borderId="20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21" xfId="0" applyFont="1" applyBorder="1" applyAlignment="1">
      <alignment wrapText="1"/>
    </xf>
    <xf numFmtId="0" fontId="1" fillId="0" borderId="7" xfId="0" applyFont="1" applyBorder="1" applyAlignment="1">
      <alignment wrapText="1"/>
    </xf>
    <xf numFmtId="164" fontId="0" fillId="0" borderId="10" xfId="0" applyNumberFormat="1" applyBorder="1" applyAlignment="1">
      <alignment vertical="center" wrapText="1"/>
    </xf>
    <xf numFmtId="0" fontId="5" fillId="2" borderId="5" xfId="0" applyFont="1" applyFill="1" applyBorder="1"/>
    <xf numFmtId="0" fontId="5" fillId="2" borderId="0" xfId="0" applyFont="1" applyFill="1"/>
    <xf numFmtId="14" fontId="0" fillId="0" borderId="0" xfId="0" applyNumberFormat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2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20" xfId="0" applyBorder="1" applyAlignment="1">
      <alignment wrapText="1"/>
    </xf>
    <xf numFmtId="164" fontId="0" fillId="0" borderId="20" xfId="0" applyNumberFormat="1" applyBorder="1"/>
    <xf numFmtId="164" fontId="0" fillId="0" borderId="5" xfId="0" applyNumberFormat="1" applyBorder="1"/>
    <xf numFmtId="14" fontId="0" fillId="0" borderId="5" xfId="0" applyNumberFormat="1" applyBorder="1" applyAlignment="1">
      <alignment wrapText="1"/>
    </xf>
    <xf numFmtId="164" fontId="0" fillId="0" borderId="5" xfId="0" applyNumberFormat="1" applyBorder="1" applyAlignment="1">
      <alignment wrapText="1"/>
    </xf>
    <xf numFmtId="14" fontId="0" fillId="0" borderId="22" xfId="0" applyNumberFormat="1" applyBorder="1"/>
    <xf numFmtId="0" fontId="0" fillId="0" borderId="22" xfId="0" applyBorder="1"/>
    <xf numFmtId="14" fontId="0" fillId="0" borderId="11" xfId="0" applyNumberFormat="1" applyBorder="1"/>
    <xf numFmtId="0" fontId="0" fillId="0" borderId="11" xfId="0" applyBorder="1"/>
    <xf numFmtId="14" fontId="0" fillId="0" borderId="20" xfId="0" applyNumberFormat="1" applyBorder="1"/>
    <xf numFmtId="0" fontId="0" fillId="0" borderId="20" xfId="0" applyBorder="1"/>
    <xf numFmtId="14" fontId="0" fillId="0" borderId="5" xfId="0" applyNumberFormat="1" applyBorder="1"/>
    <xf numFmtId="14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14" fontId="0" fillId="0" borderId="12" xfId="0" applyNumberFormat="1" applyBorder="1"/>
    <xf numFmtId="0" fontId="0" fillId="0" borderId="12" xfId="0" applyBorder="1"/>
    <xf numFmtId="164" fontId="0" fillId="0" borderId="12" xfId="0" applyNumberFormat="1" applyBorder="1"/>
    <xf numFmtId="0" fontId="1" fillId="0" borderId="5" xfId="0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18" xfId="0" applyFont="1" applyBorder="1"/>
    <xf numFmtId="0" fontId="3" fillId="0" borderId="5" xfId="0" applyFont="1" applyBorder="1"/>
    <xf numFmtId="164" fontId="2" fillId="0" borderId="5" xfId="0" applyNumberFormat="1" applyFont="1" applyBorder="1"/>
    <xf numFmtId="0" fontId="13" fillId="4" borderId="5" xfId="0" applyFont="1" applyFill="1" applyBorder="1" applyAlignment="1">
      <alignment horizontal="center" vertical="center" wrapText="1"/>
    </xf>
    <xf numFmtId="164" fontId="13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wrapText="1"/>
    </xf>
    <xf numFmtId="0" fontId="13" fillId="4" borderId="0" xfId="0" applyFont="1" applyFill="1" applyAlignment="1">
      <alignment wrapText="1"/>
    </xf>
    <xf numFmtId="164" fontId="14" fillId="4" borderId="5" xfId="0" applyNumberFormat="1" applyFont="1" applyFill="1" applyBorder="1" applyAlignment="1">
      <alignment horizontal="center" vertical="center" wrapText="1"/>
    </xf>
    <xf numFmtId="164" fontId="14" fillId="4" borderId="5" xfId="0" applyNumberFormat="1" applyFont="1" applyFill="1" applyBorder="1" applyAlignment="1">
      <alignment horizontal="center" wrapText="1"/>
    </xf>
    <xf numFmtId="0" fontId="13" fillId="4" borderId="0" xfId="0" applyFont="1" applyFill="1"/>
    <xf numFmtId="0" fontId="13" fillId="4" borderId="13" xfId="0" applyFont="1" applyFill="1" applyBorder="1" applyAlignment="1">
      <alignment horizontal="center" wrapText="1"/>
    </xf>
    <xf numFmtId="164" fontId="14" fillId="4" borderId="13" xfId="0" applyNumberFormat="1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164" fontId="5" fillId="2" borderId="15" xfId="0" applyNumberFormat="1" applyFont="1" applyFill="1" applyBorder="1"/>
    <xf numFmtId="164" fontId="14" fillId="4" borderId="5" xfId="0" applyNumberFormat="1" applyFont="1" applyFill="1" applyBorder="1" applyAlignment="1">
      <alignment wrapText="1"/>
    </xf>
    <xf numFmtId="0" fontId="13" fillId="4" borderId="5" xfId="0" applyFont="1" applyFill="1" applyBorder="1"/>
    <xf numFmtId="14" fontId="15" fillId="0" borderId="11" xfId="0" applyNumberFormat="1" applyFont="1" applyFill="1" applyBorder="1"/>
    <xf numFmtId="0" fontId="0" fillId="0" borderId="11" xfId="0" applyFill="1" applyBorder="1" applyAlignment="1">
      <alignment wrapText="1"/>
    </xf>
    <xf numFmtId="0" fontId="15" fillId="0" borderId="11" xfId="0" applyFont="1" applyFill="1" applyBorder="1"/>
    <xf numFmtId="164" fontId="15" fillId="0" borderId="11" xfId="0" applyNumberFormat="1" applyFont="1" applyFill="1" applyBorder="1"/>
    <xf numFmtId="164" fontId="15" fillId="0" borderId="7" xfId="0" applyNumberFormat="1" applyFont="1" applyFill="1" applyBorder="1"/>
    <xf numFmtId="164" fontId="0" fillId="0" borderId="4" xfId="0" applyNumberFormat="1" applyFill="1" applyBorder="1"/>
    <xf numFmtId="0" fontId="0" fillId="0" borderId="0" xfId="0" applyFill="1"/>
    <xf numFmtId="164" fontId="0" fillId="0" borderId="0" xfId="0" applyNumberFormat="1" applyFill="1"/>
    <xf numFmtId="0" fontId="15" fillId="0" borderId="0" xfId="0" applyFont="1" applyFill="1"/>
    <xf numFmtId="0" fontId="1" fillId="3" borderId="20" xfId="0" applyFont="1" applyFill="1" applyBorder="1"/>
    <xf numFmtId="164" fontId="1" fillId="0" borderId="22" xfId="0" applyNumberFormat="1" applyFont="1" applyBorder="1" applyAlignment="1">
      <alignment wrapText="1"/>
    </xf>
    <xf numFmtId="164" fontId="1" fillId="0" borderId="22" xfId="0" applyNumberFormat="1" applyFont="1" applyBorder="1"/>
    <xf numFmtId="164" fontId="1" fillId="3" borderId="22" xfId="0" applyNumberFormat="1" applyFont="1" applyFill="1" applyBorder="1"/>
    <xf numFmtId="164" fontId="11" fillId="4" borderId="10" xfId="0" applyNumberFormat="1" applyFont="1" applyFill="1" applyBorder="1" applyAlignment="1">
      <alignment wrapText="1"/>
    </xf>
    <xf numFmtId="164" fontId="11" fillId="4" borderId="10" xfId="0" applyNumberFormat="1" applyFont="1" applyFill="1" applyBorder="1"/>
    <xf numFmtId="164" fontId="11" fillId="4" borderId="12" xfId="0" applyNumberFormat="1" applyFont="1" applyFill="1" applyBorder="1" applyAlignment="1">
      <alignment wrapText="1"/>
    </xf>
    <xf numFmtId="164" fontId="11" fillId="4" borderId="12" xfId="0" applyNumberFormat="1" applyFont="1" applyFill="1" applyBorder="1"/>
    <xf numFmtId="164" fontId="0" fillId="0" borderId="0" xfId="0" applyNumberFormat="1" applyFill="1" applyBorder="1"/>
    <xf numFmtId="0" fontId="0" fillId="4" borderId="22" xfId="0" applyFill="1" applyBorder="1" applyAlignment="1">
      <alignment wrapText="1"/>
    </xf>
    <xf numFmtId="164" fontId="0" fillId="4" borderId="22" xfId="0" applyNumberFormat="1" applyFill="1" applyBorder="1"/>
    <xf numFmtId="0" fontId="0" fillId="4" borderId="11" xfId="0" applyFill="1" applyBorder="1" applyAlignment="1">
      <alignment wrapText="1"/>
    </xf>
    <xf numFmtId="164" fontId="0" fillId="4" borderId="11" xfId="0" applyNumberFormat="1" applyFill="1" applyBorder="1"/>
    <xf numFmtId="164" fontId="0" fillId="0" borderId="11" xfId="0" applyNumberFormat="1" applyFill="1" applyBorder="1"/>
    <xf numFmtId="0" fontId="1" fillId="0" borderId="6" xfId="0" applyFont="1" applyBorder="1" applyAlignment="1">
      <alignment wrapText="1"/>
    </xf>
    <xf numFmtId="0" fontId="1" fillId="0" borderId="32" xfId="0" applyFont="1" applyBorder="1" applyAlignment="1">
      <alignment wrapText="1"/>
    </xf>
    <xf numFmtId="164" fontId="1" fillId="0" borderId="18" xfId="0" applyNumberFormat="1" applyFont="1" applyBorder="1"/>
    <xf numFmtId="164" fontId="1" fillId="0" borderId="18" xfId="0" applyNumberFormat="1" applyFont="1" applyBorder="1" applyAlignment="1">
      <alignment wrapText="1"/>
    </xf>
    <xf numFmtId="164" fontId="1" fillId="3" borderId="18" xfId="0" applyNumberFormat="1" applyFont="1" applyFill="1" applyBorder="1"/>
    <xf numFmtId="0" fontId="18" fillId="0" borderId="0" xfId="0" applyFont="1"/>
    <xf numFmtId="0" fontId="17" fillId="0" borderId="0" xfId="0" applyFont="1"/>
    <xf numFmtId="0" fontId="1" fillId="0" borderId="2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34" xfId="0" applyNumberFormat="1" applyBorder="1" applyAlignment="1">
      <alignment wrapText="1"/>
    </xf>
    <xf numFmtId="164" fontId="0" fillId="0" borderId="34" xfId="0" applyNumberFormat="1" applyBorder="1" applyAlignment="1">
      <alignment wrapText="1"/>
    </xf>
    <xf numFmtId="3" fontId="1" fillId="0" borderId="34" xfId="0" applyNumberFormat="1" applyFont="1" applyBorder="1" applyAlignment="1">
      <alignment horizontal="center" wrapText="1"/>
    </xf>
    <xf numFmtId="164" fontId="0" fillId="0" borderId="34" xfId="0" applyNumberFormat="1" applyBorder="1" applyAlignment="1">
      <alignment horizontal="center" wrapText="1"/>
    </xf>
    <xf numFmtId="0" fontId="0" fillId="0" borderId="34" xfId="0" applyBorder="1" applyAlignment="1">
      <alignment wrapText="1"/>
    </xf>
    <xf numFmtId="16" fontId="0" fillId="0" borderId="35" xfId="0" applyNumberFormat="1" applyBorder="1" applyAlignment="1">
      <alignment wrapText="1"/>
    </xf>
    <xf numFmtId="164" fontId="0" fillId="0" borderId="35" xfId="0" applyNumberFormat="1" applyBorder="1" applyAlignment="1">
      <alignment wrapText="1"/>
    </xf>
    <xf numFmtId="3" fontId="1" fillId="0" borderId="35" xfId="0" applyNumberFormat="1" applyFont="1" applyBorder="1" applyAlignment="1">
      <alignment horizontal="center" wrapText="1"/>
    </xf>
    <xf numFmtId="164" fontId="0" fillId="0" borderId="35" xfId="0" applyNumberFormat="1" applyBorder="1" applyAlignment="1">
      <alignment horizontal="center" wrapText="1"/>
    </xf>
    <xf numFmtId="0" fontId="0" fillId="0" borderId="35" xfId="0" applyBorder="1" applyAlignment="1">
      <alignment wrapText="1"/>
    </xf>
    <xf numFmtId="16" fontId="0" fillId="0" borderId="36" xfId="0" applyNumberFormat="1" applyBorder="1" applyAlignment="1">
      <alignment wrapText="1"/>
    </xf>
    <xf numFmtId="164" fontId="0" fillId="0" borderId="36" xfId="0" applyNumberFormat="1" applyBorder="1" applyAlignment="1">
      <alignment wrapText="1"/>
    </xf>
    <xf numFmtId="3" fontId="1" fillId="0" borderId="36" xfId="0" applyNumberFormat="1" applyFont="1" applyBorder="1" applyAlignment="1">
      <alignment horizontal="center" wrapText="1"/>
    </xf>
    <xf numFmtId="164" fontId="0" fillId="0" borderId="36" xfId="0" applyNumberFormat="1" applyBorder="1" applyAlignment="1">
      <alignment horizontal="center" wrapText="1"/>
    </xf>
    <xf numFmtId="0" fontId="0" fillId="0" borderId="36" xfId="0" applyBorder="1" applyAlignment="1">
      <alignment wrapText="1"/>
    </xf>
    <xf numFmtId="3" fontId="1" fillId="0" borderId="5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164" fontId="15" fillId="0" borderId="11" xfId="0" applyNumberFormat="1" applyFont="1" applyBorder="1"/>
    <xf numFmtId="14" fontId="15" fillId="0" borderId="11" xfId="0" applyNumberFormat="1" applyFont="1" applyBorder="1"/>
    <xf numFmtId="164" fontId="0" fillId="4" borderId="34" xfId="0" applyNumberFormat="1" applyFill="1" applyBorder="1" applyAlignment="1">
      <alignment horizontal="center" wrapText="1"/>
    </xf>
    <xf numFmtId="164" fontId="0" fillId="4" borderId="35" xfId="0" applyNumberFormat="1" applyFill="1" applyBorder="1" applyAlignment="1">
      <alignment horizontal="center" wrapText="1"/>
    </xf>
    <xf numFmtId="164" fontId="0" fillId="4" borderId="36" xfId="0" applyNumberForma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7" fillId="0" borderId="28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0" fontId="17" fillId="0" borderId="30" xfId="0" applyFont="1" applyBorder="1" applyAlignment="1">
      <alignment horizontal="center" wrapText="1"/>
    </xf>
    <xf numFmtId="0" fontId="17" fillId="0" borderId="27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31" xfId="0" applyFont="1" applyBorder="1" applyAlignment="1">
      <alignment horizontal="center" wrapText="1"/>
    </xf>
    <xf numFmtId="0" fontId="17" fillId="0" borderId="32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7" fillId="0" borderId="33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164" fontId="8" fillId="2" borderId="25" xfId="0" applyNumberFormat="1" applyFont="1" applyFill="1" applyBorder="1" applyAlignment="1">
      <alignment horizontal="center"/>
    </xf>
    <xf numFmtId="164" fontId="8" fillId="2" borderId="15" xfId="0" applyNumberFormat="1" applyFont="1" applyFill="1" applyBorder="1" applyAlignment="1">
      <alignment horizontal="center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6" fillId="2" borderId="1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4" fontId="3" fillId="0" borderId="13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164" fontId="1" fillId="0" borderId="7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164" fontId="1" fillId="0" borderId="1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164" fontId="5" fillId="2" borderId="13" xfId="0" applyNumberFormat="1" applyFont="1" applyFill="1" applyBorder="1" applyAlignment="1">
      <alignment horizontal="center"/>
    </xf>
    <xf numFmtId="164" fontId="5" fillId="2" borderId="15" xfId="0" applyNumberFormat="1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164" fontId="1" fillId="0" borderId="16" xfId="0" applyNumberFormat="1" applyFont="1" applyFill="1" applyBorder="1" applyAlignment="1">
      <alignment horizontal="center"/>
    </xf>
    <xf numFmtId="164" fontId="1" fillId="0" borderId="17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Fill="1" applyBorder="1" applyAlignment="1">
      <alignment horizontal="center" wrapText="1"/>
    </xf>
    <xf numFmtId="0" fontId="1" fillId="0" borderId="17" xfId="0" applyFont="1" applyFill="1" applyBorder="1" applyAlignment="1">
      <alignment horizontal="center" wrapText="1"/>
    </xf>
    <xf numFmtId="0" fontId="3" fillId="0" borderId="13" xfId="0" applyFont="1" applyBorder="1"/>
    <xf numFmtId="0" fontId="3" fillId="0" borderId="15" xfId="0" applyFont="1" applyBorder="1"/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164" fontId="7" fillId="2" borderId="13" xfId="0" applyNumberFormat="1" applyFont="1" applyFill="1" applyBorder="1" applyAlignment="1">
      <alignment horizontal="center"/>
    </xf>
    <xf numFmtId="164" fontId="7" fillId="2" borderId="15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164" fontId="1" fillId="0" borderId="7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164" fontId="8" fillId="2" borderId="25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164" fontId="1" fillId="4" borderId="7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16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164" fontId="1" fillId="4" borderId="16" xfId="0" applyNumberFormat="1" applyFont="1" applyFill="1" applyBorder="1" applyAlignment="1">
      <alignment horizontal="center"/>
    </xf>
    <xf numFmtId="164" fontId="1" fillId="4" borderId="17" xfId="0" applyNumberFormat="1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164" fontId="1" fillId="0" borderId="8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12" fillId="2" borderId="5" xfId="0" applyFont="1" applyFill="1" applyBorder="1" applyAlignment="1">
      <alignment horizontal="center"/>
    </xf>
    <xf numFmtId="164" fontId="4" fillId="0" borderId="27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164" fontId="1" fillId="0" borderId="23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3" fontId="1" fillId="0" borderId="23" xfId="0" applyNumberFormat="1" applyFont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RAHIM/Desktop/dada%20merkez/DADA%20SALON%20KABARETT%202025%20G&#220;N%20SONU%20KAPANI&#350;%20RAPORLARI/12%20ARALIK%202025%20DADA%20SALON%20KABARETT%20GU&#776;N%20SONU%20RAPORLAR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RAHIM/Downloads/12%20ARALIK%202024%20DADA%20SALON%20KABARETT%20GU&#776;N%20SONU%20RAPORLARI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2%20S&#807;UBAT%202019%20DADA%20SALON%20KABARETT%20GU&#776;N%20SONU%20RAPORLARI%201%20(3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6%20HAZI&#775;RAN%202019%20DADA%20SALON%20KABARETT%20GU&#776;N%20SONU%20RAPORLAR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9%20EYLU&#776;L%202019%20DADA%20SALON%20KABARETT%20GU&#776;N%20SONU%20RAPORLARI%20(4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2%20S&#807;UBAT%202019%20DADA%20SALON%20KABARETT%20GU&#776;N%20SONU%20RAPORLARI%201%20(7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2%20S&#807;UBAT%202019%20DADA%20SALON%20KABARETT%20GU&#776;N%20SONU%20RAPORLARI%201%20(9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2%20S&#807;UBAT%202019%20DADA%20SALON%20KABARETT%20GU&#776;N%20SONU%20RAPORLARI%201%20(1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9%20EYLU&#776;L%202021%20DADA%20SALON%20KABARETT%20GU&#776;N%20SONU%20RAPORLARI%20%20(3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09%20EYLU&#776;L%202021%20DADA%20SALON%20KABARETT%20GU&#776;N%20SONU%20RAPORLARI%20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KASA NAKİT ÇIKIŞLARI"/>
      <sheetName val="ORGANİZASYON BAZLI DEĞERLENDİRM"/>
      <sheetName val="SERVİS HAKEDİŞ TABLOS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7">
          <cell r="E37">
            <v>17092.5</v>
          </cell>
        </row>
        <row r="39">
          <cell r="E39">
            <v>691530</v>
          </cell>
        </row>
        <row r="40">
          <cell r="E40">
            <v>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KASA NAKİT ÇIKIŞLARI"/>
      <sheetName val="ORGANİZASYON BAZLI DEĞERLENDİRM"/>
    </sheetNames>
    <sheetDataSet>
      <sheetData sheetId="0"/>
      <sheetData sheetId="1"/>
      <sheetData sheetId="2">
        <row r="40">
          <cell r="E4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</sheetNames>
    <sheetDataSet>
      <sheetData sheetId="0"/>
      <sheetData sheetId="1">
        <row r="1">
          <cell r="B1" t="str">
            <v>DADA SALON GÜN SONU RAPORU</v>
          </cell>
          <cell r="C1"/>
          <cell r="D1"/>
          <cell r="E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</sheetNames>
    <sheetDataSet>
      <sheetData sheetId="0"/>
      <sheetData sheetId="1">
        <row r="1">
          <cell r="B1" t="str">
            <v>DADA SALON GÜN SONU RAPORU</v>
          </cell>
          <cell r="C1"/>
          <cell r="D1"/>
          <cell r="E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  <sheetName val="Sayfa2"/>
    </sheetNames>
    <sheetDataSet>
      <sheetData sheetId="0"/>
      <sheetData sheetId="1">
        <row r="1">
          <cell r="B1" t="str">
            <v>DADA SALON GÜN SONU RAPORU</v>
          </cell>
          <cell r="C1"/>
          <cell r="D1"/>
          <cell r="E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</sheetNames>
    <sheetDataSet>
      <sheetData sheetId="0"/>
      <sheetData sheetId="1">
        <row r="1">
          <cell r="B1" t="str">
            <v>DADA SALON GÜN SONU RAPORU</v>
          </cell>
          <cell r="C1"/>
          <cell r="D1"/>
          <cell r="E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</sheetNames>
    <sheetDataSet>
      <sheetData sheetId="0"/>
      <sheetData sheetId="1">
        <row r="1">
          <cell r="B1" t="str">
            <v>DADA SALON GÜN SONU RAPORU</v>
          </cell>
          <cell r="C1"/>
          <cell r="D1"/>
          <cell r="E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</sheetNames>
    <sheetDataSet>
      <sheetData sheetId="0"/>
      <sheetData sheetId="1">
        <row r="1">
          <cell r="B1" t="str">
            <v>DADA SALON GÜN SONU RAPORU</v>
          </cell>
          <cell r="C1"/>
          <cell r="D1"/>
          <cell r="E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  <sheetName val="Sayfa2"/>
    </sheetNames>
    <sheetDataSet>
      <sheetData sheetId="0"/>
      <sheetData sheetId="1">
        <row r="1">
          <cell r="B1" t="str">
            <v>DADA SALON KABARETT GÜN SONU RAPORU</v>
          </cell>
          <cell r="C1">
            <v>0</v>
          </cell>
          <cell r="D1">
            <v>0</v>
          </cell>
          <cell r="E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RNE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N TOPLAM"/>
      <sheetName val="Sayfa1"/>
      <sheetName val="Sayfa2"/>
    </sheetNames>
    <sheetDataSet>
      <sheetData sheetId="0"/>
      <sheetData sheetId="1">
        <row r="1">
          <cell r="B1" t="str">
            <v>DADA SALON KABARETT GÜN SONU RAPORU</v>
          </cell>
          <cell r="C1">
            <v>0</v>
          </cell>
          <cell r="D1">
            <v>0</v>
          </cell>
          <cell r="E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3"/>
  <sheetViews>
    <sheetView workbookViewId="0">
      <selection activeCell="C6" sqref="C6"/>
    </sheetView>
  </sheetViews>
  <sheetFormatPr defaultColWidth="8.77734375" defaultRowHeight="14.4" x14ac:dyDescent="0.3"/>
  <cols>
    <col min="1" max="1" width="33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5.44140625" style="50" customWidth="1"/>
    <col min="6" max="6" width="12.33203125" style="48" bestFit="1" customWidth="1"/>
    <col min="7" max="7" width="19.44140625" style="48" customWidth="1"/>
    <col min="8" max="8" width="24.77734375" style="48" customWidth="1"/>
    <col min="9" max="9" width="22.77734375" style="48" customWidth="1"/>
    <col min="11" max="11" width="8.77734375" customWidth="1"/>
    <col min="12" max="12" width="11" style="3" hidden="1" customWidth="1"/>
  </cols>
  <sheetData>
    <row r="1" spans="1:12" ht="18" thickBot="1" x14ac:dyDescent="0.5">
      <c r="A1" s="5">
        <v>46174</v>
      </c>
      <c r="B1" s="221" t="s">
        <v>34</v>
      </c>
      <c r="C1" s="221"/>
      <c r="D1" s="221"/>
      <c r="E1" s="221"/>
      <c r="F1" s="44"/>
      <c r="G1" s="44"/>
      <c r="H1" s="44"/>
      <c r="I1" s="44"/>
      <c r="J1" s="1"/>
    </row>
    <row r="2" spans="1:12" ht="31.8" thickTop="1" thickBot="1" x14ac:dyDescent="0.5">
      <c r="C2" s="219" t="s">
        <v>17</v>
      </c>
      <c r="D2" s="220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L4" s="3">
        <v>150</v>
      </c>
    </row>
    <row r="5" spans="1:12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12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</row>
    <row r="9" spans="1:12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22"/>
      <c r="E15" s="223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22"/>
      <c r="E16" s="223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12" ht="15" thickTop="1" x14ac:dyDescent="0.3">
      <c r="A21" s="267"/>
      <c r="B21" s="251"/>
      <c r="C21" s="252"/>
      <c r="D21" s="243"/>
      <c r="E21" s="244"/>
      <c r="G21" s="118"/>
      <c r="H21" s="52"/>
      <c r="I21" s="73"/>
    </row>
    <row r="22" spans="1:12" x14ac:dyDescent="0.3">
      <c r="A22" s="267"/>
      <c r="B22" s="245"/>
      <c r="C22" s="246"/>
      <c r="D22" s="237"/>
      <c r="E22" s="238"/>
      <c r="G22" s="118"/>
      <c r="H22" s="52"/>
      <c r="I22" s="73"/>
    </row>
    <row r="23" spans="1:12" x14ac:dyDescent="0.3">
      <c r="A23" s="267"/>
      <c r="B23" s="245"/>
      <c r="C23" s="246"/>
      <c r="D23" s="237"/>
      <c r="E23" s="238"/>
      <c r="G23" s="118"/>
      <c r="H23" s="52"/>
      <c r="I23" s="73"/>
    </row>
    <row r="24" spans="1:12" s="2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6"/>
    </row>
    <row r="25" spans="1:12" x14ac:dyDescent="0.3">
      <c r="A25" s="267"/>
      <c r="B25" s="245"/>
      <c r="C25" s="246"/>
      <c r="D25" s="237"/>
      <c r="E25" s="238"/>
      <c r="G25" s="118"/>
      <c r="H25" s="52"/>
      <c r="I25" s="73"/>
    </row>
    <row r="26" spans="1:12" s="2" customFormat="1" x14ac:dyDescent="0.3">
      <c r="A26" s="267"/>
      <c r="B26" s="247"/>
      <c r="C26" s="248"/>
      <c r="D26" s="228"/>
      <c r="E26" s="229"/>
      <c r="F26" s="48"/>
      <c r="G26" s="118"/>
      <c r="H26" s="52"/>
      <c r="I26" s="73"/>
      <c r="L26" s="6"/>
    </row>
    <row r="27" spans="1:12" x14ac:dyDescent="0.3">
      <c r="A27" s="267"/>
      <c r="B27" s="230"/>
      <c r="C27" s="231"/>
      <c r="D27" s="228"/>
      <c r="E27" s="229"/>
      <c r="G27" s="105"/>
      <c r="H27" s="75"/>
      <c r="I27" s="68"/>
    </row>
    <row r="28" spans="1:12" x14ac:dyDescent="0.3">
      <c r="A28" s="267"/>
      <c r="B28" s="232"/>
      <c r="C28" s="233"/>
      <c r="D28" s="234"/>
      <c r="E28" s="235"/>
      <c r="G28" s="105"/>
      <c r="H28" s="75"/>
      <c r="I28" s="68"/>
    </row>
    <row r="29" spans="1:12" x14ac:dyDescent="0.3">
      <c r="A29" s="267"/>
      <c r="B29" s="230"/>
      <c r="C29" s="231"/>
      <c r="D29" s="228"/>
      <c r="E29" s="229"/>
      <c r="G29" s="105"/>
      <c r="H29" s="75"/>
      <c r="I29" s="68"/>
    </row>
    <row r="30" spans="1:12" x14ac:dyDescent="0.3">
      <c r="A30" s="267"/>
      <c r="B30" s="230"/>
      <c r="C30" s="231"/>
      <c r="D30" s="228"/>
      <c r="E30" s="229"/>
      <c r="G30" s="105"/>
      <c r="H30" s="75"/>
      <c r="I30" s="68"/>
    </row>
    <row r="31" spans="1:12" x14ac:dyDescent="0.3">
      <c r="A31" s="267"/>
      <c r="B31" s="230"/>
      <c r="C31" s="231"/>
      <c r="D31" s="228"/>
      <c r="E31" s="229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G32" s="105"/>
      <c r="H32" s="75"/>
      <c r="I32" s="68"/>
    </row>
    <row r="33" spans="1:12" ht="15" thickBot="1" x14ac:dyDescent="0.35">
      <c r="A33" s="268"/>
      <c r="B33" s="269"/>
      <c r="C33" s="270"/>
      <c r="D33" s="224"/>
      <c r="E33" s="225"/>
      <c r="G33" s="105"/>
      <c r="H33" s="75"/>
      <c r="I33" s="68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ht="18.600000000000001" thickTop="1" thickBot="1" x14ac:dyDescent="0.5">
      <c r="A37" s="127">
        <f>'[1]31'!$E$37</f>
        <v>17092.5</v>
      </c>
      <c r="B37" s="128"/>
      <c r="C37" s="128">
        <f>D19</f>
        <v>0</v>
      </c>
      <c r="D37" s="128">
        <f>A37+B37+D15-C37</f>
        <v>17092.5</v>
      </c>
      <c r="E37" s="131">
        <f>D37</f>
        <v>17092.5</v>
      </c>
      <c r="F37" s="134">
        <f>E37-D37</f>
        <v>0</v>
      </c>
      <c r="G37" s="132"/>
      <c r="H37" s="75"/>
      <c r="I37" s="68"/>
    </row>
    <row r="38" spans="1:12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12" ht="18.600000000000001" thickTop="1" thickBot="1" x14ac:dyDescent="0.35">
      <c r="A39" s="59" t="s">
        <v>73</v>
      </c>
      <c r="B39" s="116">
        <f>'[1]31'!$E$39</f>
        <v>691530</v>
      </c>
      <c r="C39" s="116"/>
      <c r="D39" s="116"/>
      <c r="E39" s="116">
        <f>B39+C39-D39</f>
        <v>691530</v>
      </c>
      <c r="F39" s="49"/>
      <c r="G39" s="96"/>
      <c r="H39" s="75"/>
      <c r="I39" s="68"/>
    </row>
    <row r="40" spans="1:12" ht="18.600000000000001" thickTop="1" thickBot="1" x14ac:dyDescent="0.35">
      <c r="A40" s="59" t="s">
        <v>111</v>
      </c>
      <c r="B40" s="116">
        <f>'[1]31'!$E$40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9" ht="15.6" thickTop="1" thickBot="1" x14ac:dyDescent="0.35"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9" ht="15" thickTop="1" x14ac:dyDescent="0.3">
      <c r="A71" s="159" t="s">
        <v>95</v>
      </c>
      <c r="B71" s="82"/>
      <c r="G71" s="105"/>
      <c r="H71" s="75"/>
      <c r="I71" s="68"/>
    </row>
    <row r="72" spans="1:9" x14ac:dyDescent="0.3">
      <c r="A72" s="87" t="s">
        <v>96</v>
      </c>
      <c r="B72" s="147"/>
      <c r="G72" s="105"/>
      <c r="H72" s="75"/>
      <c r="I72" s="68"/>
    </row>
    <row r="73" spans="1:9" ht="15" thickBot="1" x14ac:dyDescent="0.35">
      <c r="A73" s="160" t="s">
        <v>97</v>
      </c>
      <c r="B73" s="161"/>
      <c r="G73" s="105"/>
      <c r="H73" s="75"/>
      <c r="I73" s="68"/>
    </row>
    <row r="74" spans="1:9" ht="29.4" thickTop="1" x14ac:dyDescent="0.3">
      <c r="A74" s="87" t="s">
        <v>112</v>
      </c>
      <c r="B74" s="147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G75" s="105"/>
      <c r="H75" s="75"/>
      <c r="I75" s="68"/>
    </row>
    <row r="76" spans="1:9" x14ac:dyDescent="0.3">
      <c r="A76" s="88" t="s">
        <v>28</v>
      </c>
      <c r="B76" s="64"/>
      <c r="G76" s="105"/>
      <c r="H76" s="75"/>
      <c r="I76" s="68"/>
    </row>
    <row r="77" spans="1:9" x14ac:dyDescent="0.3">
      <c r="A77" s="63" t="s">
        <v>29</v>
      </c>
      <c r="B77" s="64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9" x14ac:dyDescent="0.3">
      <c r="A79" s="83" t="s">
        <v>98</v>
      </c>
      <c r="B79" s="64"/>
      <c r="G79" s="105"/>
      <c r="H79" s="78"/>
      <c r="I79" s="79"/>
    </row>
    <row r="80" spans="1:9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I83" s="50"/>
    </row>
    <row r="84" spans="1:9" ht="15.6" customHeight="1" thickTop="1" thickBot="1" x14ac:dyDescent="0.35">
      <c r="A84" s="196"/>
      <c r="B84" s="197"/>
      <c r="C84" s="197"/>
      <c r="D84" s="197"/>
      <c r="E84" s="198"/>
      <c r="H84" s="66" t="s">
        <v>26</v>
      </c>
      <c r="I84" s="67"/>
    </row>
    <row r="85" spans="1:9" ht="15" customHeight="1" thickTop="1" x14ac:dyDescent="0.3">
      <c r="A85" s="199"/>
      <c r="B85" s="200"/>
      <c r="C85" s="200"/>
      <c r="D85" s="200"/>
      <c r="E85" s="201"/>
      <c r="I85" s="50"/>
    </row>
    <row r="86" spans="1:9" ht="14.4" customHeight="1" x14ac:dyDescent="0.3">
      <c r="A86" s="199"/>
      <c r="B86" s="200"/>
      <c r="C86" s="200"/>
      <c r="D86" s="200"/>
      <c r="E86" s="201"/>
      <c r="I86" s="50"/>
    </row>
    <row r="87" spans="1:9" ht="14.4" customHeight="1" x14ac:dyDescent="0.3">
      <c r="A87" s="199"/>
      <c r="B87" s="200"/>
      <c r="C87" s="200"/>
      <c r="D87" s="200"/>
      <c r="E87" s="201"/>
      <c r="I87" s="50"/>
    </row>
    <row r="88" spans="1:9" ht="14.4" customHeight="1" x14ac:dyDescent="0.3">
      <c r="A88" s="199"/>
      <c r="B88" s="200"/>
      <c r="C88" s="200"/>
      <c r="D88" s="200"/>
      <c r="E88" s="201"/>
      <c r="I88" s="50"/>
    </row>
    <row r="89" spans="1:9" ht="14.4" customHeight="1" x14ac:dyDescent="0.3">
      <c r="A89" s="199"/>
      <c r="B89" s="200"/>
      <c r="C89" s="200"/>
      <c r="D89" s="200"/>
      <c r="E89" s="201"/>
      <c r="I89" s="50"/>
    </row>
    <row r="90" spans="1:9" ht="15" customHeight="1" thickBot="1" x14ac:dyDescent="0.35">
      <c r="A90" s="202"/>
      <c r="B90" s="203"/>
      <c r="C90" s="203"/>
      <c r="D90" s="203"/>
      <c r="E90" s="204"/>
      <c r="I90" s="50"/>
    </row>
    <row r="91" spans="1:9" ht="15" thickTop="1" x14ac:dyDescent="0.3">
      <c r="I91" s="50"/>
    </row>
    <row r="92" spans="1:9" x14ac:dyDescent="0.3">
      <c r="I92" s="50"/>
    </row>
    <row r="93" spans="1:9" ht="25.8" x14ac:dyDescent="0.5">
      <c r="A93" s="164" t="s">
        <v>14</v>
      </c>
      <c r="B93" s="165" t="s">
        <v>103</v>
      </c>
      <c r="I93" s="50"/>
    </row>
  </sheetData>
  <mergeCells count="96">
    <mergeCell ref="B20:C20"/>
    <mergeCell ref="B21:C21"/>
    <mergeCell ref="A16:C16"/>
    <mergeCell ref="D6:E6"/>
    <mergeCell ref="A10:B10"/>
    <mergeCell ref="A12:B12"/>
    <mergeCell ref="A17:C17"/>
    <mergeCell ref="D17:E17"/>
    <mergeCell ref="A18:E18"/>
    <mergeCell ref="A19:C19"/>
    <mergeCell ref="A20:A33"/>
    <mergeCell ref="B33:C33"/>
    <mergeCell ref="B31:C31"/>
    <mergeCell ref="D31:E31"/>
    <mergeCell ref="B32:C32"/>
    <mergeCell ref="D32:E32"/>
    <mergeCell ref="B26:C26"/>
    <mergeCell ref="B29:C29"/>
    <mergeCell ref="D29:E29"/>
    <mergeCell ref="B30:C30"/>
    <mergeCell ref="D30:E30"/>
    <mergeCell ref="B23:C23"/>
    <mergeCell ref="B24:C24"/>
    <mergeCell ref="D24:E24"/>
    <mergeCell ref="B25:C25"/>
    <mergeCell ref="D25:E25"/>
    <mergeCell ref="A11:B11"/>
    <mergeCell ref="D12:E12"/>
    <mergeCell ref="A14:C14"/>
    <mergeCell ref="A15:C15"/>
    <mergeCell ref="D14:E14"/>
    <mergeCell ref="A4:B4"/>
    <mergeCell ref="A6:B6"/>
    <mergeCell ref="A13:C13"/>
    <mergeCell ref="D13:E13"/>
    <mergeCell ref="D23:E23"/>
    <mergeCell ref="D15:E15"/>
    <mergeCell ref="D19:E19"/>
    <mergeCell ref="D20:E20"/>
    <mergeCell ref="D21:E21"/>
    <mergeCell ref="D22:E22"/>
    <mergeCell ref="B22:C22"/>
    <mergeCell ref="A7:B7"/>
    <mergeCell ref="D7:E7"/>
    <mergeCell ref="A8:B8"/>
    <mergeCell ref="A9:B9"/>
    <mergeCell ref="D10:E10"/>
    <mergeCell ref="C2:D2"/>
    <mergeCell ref="B1:E1"/>
    <mergeCell ref="D16:E16"/>
    <mergeCell ref="D33:E33"/>
    <mergeCell ref="D11:E11"/>
    <mergeCell ref="D8:E8"/>
    <mergeCell ref="D9:E9"/>
    <mergeCell ref="D4:E4"/>
    <mergeCell ref="A5:B5"/>
    <mergeCell ref="D5:E5"/>
    <mergeCell ref="A3:B3"/>
    <mergeCell ref="D26:E26"/>
    <mergeCell ref="B27:C27"/>
    <mergeCell ref="D27:E27"/>
    <mergeCell ref="B28:C28"/>
    <mergeCell ref="D28:E28"/>
    <mergeCell ref="A34:C34"/>
    <mergeCell ref="D34:E34"/>
    <mergeCell ref="B35:E35"/>
    <mergeCell ref="A41:D41"/>
    <mergeCell ref="C51:D51"/>
    <mergeCell ref="C42:D42"/>
    <mergeCell ref="C48:D48"/>
    <mergeCell ref="C49:D49"/>
    <mergeCell ref="C43:D43"/>
    <mergeCell ref="C44:D44"/>
    <mergeCell ref="C45:D45"/>
    <mergeCell ref="C46:D46"/>
    <mergeCell ref="C47:D47"/>
    <mergeCell ref="C50:D50"/>
    <mergeCell ref="C59:D59"/>
    <mergeCell ref="C60:D60"/>
    <mergeCell ref="C61:D61"/>
    <mergeCell ref="C62:D62"/>
    <mergeCell ref="C52:D52"/>
    <mergeCell ref="C58:D58"/>
    <mergeCell ref="C55:D55"/>
    <mergeCell ref="C56:D56"/>
    <mergeCell ref="C57:D57"/>
    <mergeCell ref="C54:D54"/>
    <mergeCell ref="C53:D53"/>
    <mergeCell ref="C68:D68"/>
    <mergeCell ref="A83:E83"/>
    <mergeCell ref="A84:E90"/>
    <mergeCell ref="C63:D63"/>
    <mergeCell ref="C64:D64"/>
    <mergeCell ref="C65:D65"/>
    <mergeCell ref="C66:D66"/>
    <mergeCell ref="C67:D67"/>
  </mergeCells>
  <pageMargins left="0.70866141732283472" right="0.70866141732283472" top="0.31496062992125984" bottom="0.11811023622047245" header="0.31496062992125984" footer="3.937007874015748E-2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4"/>
  <sheetViews>
    <sheetView workbookViewId="0">
      <pane xSplit="2" ySplit="2" topLeftCell="C21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B40" sqref="B40"/>
    </sheetView>
  </sheetViews>
  <sheetFormatPr defaultColWidth="8.77734375" defaultRowHeight="14.4" x14ac:dyDescent="0.3"/>
  <cols>
    <col min="1" max="1" width="31.44140625" bestFit="1" customWidth="1"/>
    <col min="2" max="2" width="14.21875" bestFit="1" customWidth="1"/>
    <col min="3" max="3" width="20.44140625" customWidth="1"/>
    <col min="4" max="4" width="15.33203125" style="3" bestFit="1" customWidth="1"/>
    <col min="5" max="5" width="15.109375" style="3" bestFit="1" customWidth="1"/>
    <col min="6" max="6" width="13.109375" bestFit="1" customWidth="1"/>
    <col min="7" max="7" width="34.5546875" style="48" customWidth="1"/>
    <col min="8" max="8" width="30.21875" bestFit="1" customWidth="1"/>
    <col min="9" max="9" width="15.109375" style="3" bestFit="1" customWidth="1"/>
    <col min="11" max="11" width="8.77734375" customWidth="1"/>
    <col min="12" max="12" width="11" style="3" bestFit="1" customWidth="1"/>
  </cols>
  <sheetData>
    <row r="1" spans="1:12" ht="18" thickBot="1" x14ac:dyDescent="0.5">
      <c r="A1" s="7">
        <v>46174</v>
      </c>
      <c r="B1" s="221" t="s">
        <v>42</v>
      </c>
      <c r="C1" s="221"/>
      <c r="D1" s="221"/>
      <c r="E1" s="221"/>
      <c r="F1" s="1"/>
      <c r="G1" s="44"/>
      <c r="H1" s="1"/>
      <c r="J1" s="1"/>
    </row>
    <row r="2" spans="1:12" ht="31.8" thickTop="1" thickBot="1" x14ac:dyDescent="0.5">
      <c r="A2" s="48"/>
      <c r="B2" s="48"/>
      <c r="C2" s="219" t="s">
        <v>17</v>
      </c>
      <c r="D2" s="220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s="48" customFormat="1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  <c r="L7" s="50"/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ht="18.600000000000001" thickTop="1" thickBot="1" x14ac:dyDescent="0.5">
      <c r="A9" s="226" t="s">
        <v>15</v>
      </c>
      <c r="B9" s="227"/>
      <c r="C9" s="120"/>
      <c r="D9" s="222"/>
      <c r="E9" s="223"/>
      <c r="F9" s="48"/>
      <c r="G9" s="118"/>
      <c r="H9" s="52"/>
      <c r="I9" s="73"/>
      <c r="L9" s="3">
        <v>150</v>
      </c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s="48" customFormat="1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  <c r="L11" s="50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22"/>
      <c r="E15" s="223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22"/>
      <c r="E16" s="223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L22" s="46"/>
    </row>
    <row r="23" spans="1:12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L23" s="46"/>
    </row>
    <row r="24" spans="1:12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46"/>
    </row>
    <row r="25" spans="1:12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s="47" customFormat="1" x14ac:dyDescent="0.3">
      <c r="A26" s="267"/>
      <c r="B26" s="247"/>
      <c r="C26" s="248"/>
      <c r="D26" s="228"/>
      <c r="E26" s="229"/>
      <c r="F26" s="48"/>
      <c r="G26" s="118"/>
      <c r="H26" s="52"/>
      <c r="I26" s="73"/>
      <c r="L26" s="46"/>
    </row>
    <row r="27" spans="1:12" ht="14.4" customHeight="1" x14ac:dyDescent="0.3">
      <c r="A27" s="267"/>
      <c r="B27" s="230"/>
      <c r="C27" s="231"/>
      <c r="D27" s="228"/>
      <c r="E27" s="229"/>
      <c r="F27" s="48"/>
      <c r="G27" s="105"/>
      <c r="H27" s="75"/>
      <c r="I27" s="68"/>
    </row>
    <row r="28" spans="1:12" ht="14.4" customHeight="1" x14ac:dyDescent="0.3">
      <c r="A28" s="267"/>
      <c r="B28" s="232"/>
      <c r="C28" s="233"/>
      <c r="D28" s="234"/>
      <c r="E28" s="235"/>
      <c r="F28" s="48"/>
      <c r="G28" s="105"/>
      <c r="H28" s="75"/>
      <c r="I28" s="68"/>
    </row>
    <row r="29" spans="1:12" x14ac:dyDescent="0.3">
      <c r="A29" s="267"/>
      <c r="B29" s="230"/>
      <c r="C29" s="231"/>
      <c r="D29" s="228"/>
      <c r="E29" s="229"/>
      <c r="F29" s="48"/>
      <c r="G29" s="105"/>
      <c r="H29" s="75"/>
      <c r="I29" s="68"/>
    </row>
    <row r="30" spans="1:12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12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12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12" s="2" customFormat="1" ht="58.8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6"/>
    </row>
    <row r="36" spans="1:12" s="49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6"/>
    </row>
    <row r="37" spans="1:12" s="49" customFormat="1" ht="18.600000000000001" thickTop="1" thickBot="1" x14ac:dyDescent="0.5">
      <c r="A37" s="127">
        <v>3748.4799999999814</v>
      </c>
      <c r="B37" s="128"/>
      <c r="C37" s="128">
        <f>D19</f>
        <v>0</v>
      </c>
      <c r="D37" s="128">
        <f>A37+B37+D15-C37</f>
        <v>3748.4799999999814</v>
      </c>
      <c r="E37" s="131">
        <f>D37</f>
        <v>3748.4799999999814</v>
      </c>
      <c r="F37" s="134">
        <f>E37-D37</f>
        <v>0</v>
      </c>
      <c r="G37" s="132"/>
      <c r="H37" s="75"/>
      <c r="I37" s="68"/>
      <c r="L37" s="6"/>
    </row>
    <row r="38" spans="1:12" s="49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G38" s="105"/>
      <c r="H38" s="75"/>
      <c r="I38" s="68"/>
      <c r="L38" s="6"/>
    </row>
    <row r="39" spans="1:12" s="49" customFormat="1" ht="18.600000000000001" thickTop="1" thickBot="1" x14ac:dyDescent="0.35">
      <c r="A39" s="59" t="s">
        <v>73</v>
      </c>
      <c r="B39" s="116">
        <v>918220</v>
      </c>
      <c r="C39" s="116"/>
      <c r="D39" s="116"/>
      <c r="E39" s="116">
        <f>B39+C39-D39</f>
        <v>918220</v>
      </c>
      <c r="G39" s="96"/>
      <c r="H39" s="75"/>
      <c r="I39" s="68"/>
      <c r="L39" s="6"/>
    </row>
    <row r="40" spans="1:12" s="49" customFormat="1" ht="18.600000000000001" thickTop="1" thickBot="1" x14ac:dyDescent="0.35">
      <c r="A40" s="59" t="s">
        <v>111</v>
      </c>
      <c r="B40" s="116">
        <v>0</v>
      </c>
      <c r="C40" s="116"/>
      <c r="D40" s="116"/>
      <c r="E40" s="116">
        <f>B40+C40-D40</f>
        <v>0</v>
      </c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12" s="2" customFormat="1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L42" s="6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112</v>
      </c>
      <c r="B74" s="147"/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98</v>
      </c>
      <c r="B79" s="64"/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H83" s="48"/>
      <c r="I83" s="50"/>
    </row>
    <row r="84" spans="1:9" ht="15.6" customHeight="1" thickTop="1" thickBot="1" x14ac:dyDescent="0.35">
      <c r="A84" s="196"/>
      <c r="B84" s="197"/>
      <c r="C84" s="197"/>
      <c r="D84" s="197"/>
      <c r="E84" s="198"/>
      <c r="F84" s="48"/>
      <c r="H84" s="66" t="s">
        <v>26</v>
      </c>
      <c r="I84" s="67"/>
    </row>
    <row r="85" spans="1:9" ht="15" customHeight="1" thickTop="1" x14ac:dyDescent="0.3">
      <c r="A85" s="199"/>
      <c r="B85" s="200"/>
      <c r="C85" s="200"/>
      <c r="D85" s="200"/>
      <c r="E85" s="201"/>
      <c r="F85" s="48"/>
      <c r="H85" s="48"/>
      <c r="I85" s="50"/>
    </row>
    <row r="86" spans="1:9" ht="14.4" customHeight="1" x14ac:dyDescent="0.3">
      <c r="A86" s="199"/>
      <c r="B86" s="200"/>
      <c r="C86" s="200"/>
      <c r="D86" s="200"/>
      <c r="E86" s="201"/>
      <c r="F86" s="48"/>
      <c r="H86" s="48"/>
      <c r="I86" s="50"/>
    </row>
    <row r="87" spans="1:9" ht="14.4" customHeight="1" x14ac:dyDescent="0.3">
      <c r="A87" s="199"/>
      <c r="B87" s="200"/>
      <c r="C87" s="200"/>
      <c r="D87" s="200"/>
      <c r="E87" s="201"/>
      <c r="F87" s="48"/>
      <c r="H87" s="48"/>
      <c r="I87" s="50"/>
    </row>
    <row r="88" spans="1:9" ht="14.4" customHeight="1" x14ac:dyDescent="0.3">
      <c r="A88" s="199"/>
      <c r="B88" s="200"/>
      <c r="C88" s="200"/>
      <c r="D88" s="200"/>
      <c r="E88" s="201"/>
      <c r="F88" s="48"/>
      <c r="H88" s="48"/>
      <c r="I88" s="50"/>
    </row>
    <row r="89" spans="1:9" ht="14.4" customHeight="1" x14ac:dyDescent="0.3">
      <c r="A89" s="199"/>
      <c r="B89" s="200"/>
      <c r="C89" s="200"/>
      <c r="D89" s="200"/>
      <c r="E89" s="201"/>
      <c r="F89" s="48"/>
      <c r="H89" s="48"/>
      <c r="I89" s="50"/>
    </row>
    <row r="90" spans="1:9" ht="15" customHeight="1" thickBot="1" x14ac:dyDescent="0.35">
      <c r="A90" s="202"/>
      <c r="B90" s="203"/>
      <c r="C90" s="203"/>
      <c r="D90" s="203"/>
      <c r="E90" s="204"/>
      <c r="F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H92" s="48"/>
      <c r="I92" s="50"/>
    </row>
    <row r="93" spans="1:9" ht="25.8" x14ac:dyDescent="0.5">
      <c r="A93" s="164" t="s">
        <v>14</v>
      </c>
      <c r="B93" s="165" t="s">
        <v>103</v>
      </c>
      <c r="C93" s="48"/>
      <c r="D93" s="50"/>
      <c r="E93" s="50"/>
      <c r="F93" s="48"/>
      <c r="H93" s="48"/>
      <c r="I93" s="50"/>
    </row>
    <row r="94" spans="1:9" x14ac:dyDescent="0.3">
      <c r="A94" s="48"/>
      <c r="B94" s="48"/>
      <c r="C94" s="48"/>
      <c r="D94" s="50"/>
      <c r="E94" s="50"/>
      <c r="F94" s="48"/>
      <c r="H94" s="48"/>
      <c r="I94" s="50"/>
    </row>
  </sheetData>
  <mergeCells count="96">
    <mergeCell ref="D33:E33"/>
    <mergeCell ref="C42:D42"/>
    <mergeCell ref="A34:C34"/>
    <mergeCell ref="D34:E34"/>
    <mergeCell ref="B35:E35"/>
    <mergeCell ref="A41:D41"/>
    <mergeCell ref="C53:D53"/>
    <mergeCell ref="C43:D43"/>
    <mergeCell ref="C44:D44"/>
    <mergeCell ref="C57:D57"/>
    <mergeCell ref="C48:D48"/>
    <mergeCell ref="C54:D54"/>
    <mergeCell ref="C55:D55"/>
    <mergeCell ref="C56:D56"/>
    <mergeCell ref="C45:D45"/>
    <mergeCell ref="C46:D46"/>
    <mergeCell ref="C47:D47"/>
    <mergeCell ref="C52:D52"/>
    <mergeCell ref="C58:D58"/>
    <mergeCell ref="A8:B8"/>
    <mergeCell ref="D8:E8"/>
    <mergeCell ref="C68:D68"/>
    <mergeCell ref="C67:D67"/>
    <mergeCell ref="C61:D61"/>
    <mergeCell ref="C62:D62"/>
    <mergeCell ref="C63:D63"/>
    <mergeCell ref="C64:D64"/>
    <mergeCell ref="C65:D65"/>
    <mergeCell ref="C66:D66"/>
    <mergeCell ref="C60:D60"/>
    <mergeCell ref="C49:D49"/>
    <mergeCell ref="C50:D50"/>
    <mergeCell ref="C51:D51"/>
    <mergeCell ref="C59:D59"/>
    <mergeCell ref="B1:E1"/>
    <mergeCell ref="C2:D2"/>
    <mergeCell ref="D4:E4"/>
    <mergeCell ref="A9:B9"/>
    <mergeCell ref="D9:E9"/>
    <mergeCell ref="A3:B3"/>
    <mergeCell ref="A4:B4"/>
    <mergeCell ref="D7:E7"/>
    <mergeCell ref="A5:B5"/>
    <mergeCell ref="D5:E5"/>
    <mergeCell ref="A6:B6"/>
    <mergeCell ref="D6:E6"/>
    <mergeCell ref="A7:B7"/>
    <mergeCell ref="B27:C27"/>
    <mergeCell ref="D27:E27"/>
    <mergeCell ref="D26:E26"/>
    <mergeCell ref="D32:E32"/>
    <mergeCell ref="D28:E28"/>
    <mergeCell ref="B29:C29"/>
    <mergeCell ref="B30:C30"/>
    <mergeCell ref="D30:E30"/>
    <mergeCell ref="B31:C31"/>
    <mergeCell ref="D31:E31"/>
    <mergeCell ref="B32:C32"/>
    <mergeCell ref="B28:C28"/>
    <mergeCell ref="D29:E29"/>
    <mergeCell ref="B26:C26"/>
    <mergeCell ref="A83:E83"/>
    <mergeCell ref="A84:E90"/>
    <mergeCell ref="A17:C17"/>
    <mergeCell ref="D17:E17"/>
    <mergeCell ref="A18:E18"/>
    <mergeCell ref="A19:C19"/>
    <mergeCell ref="A20:A33"/>
    <mergeCell ref="B33:C33"/>
    <mergeCell ref="D19:E19"/>
    <mergeCell ref="B20:C20"/>
    <mergeCell ref="D20:E20"/>
    <mergeCell ref="B21:C21"/>
    <mergeCell ref="D21:E21"/>
    <mergeCell ref="B25:C25"/>
    <mergeCell ref="D22:E22"/>
    <mergeCell ref="D23:E23"/>
    <mergeCell ref="D24:E24"/>
    <mergeCell ref="D25:E25"/>
    <mergeCell ref="D13:E13"/>
    <mergeCell ref="A14:C14"/>
    <mergeCell ref="D14:E14"/>
    <mergeCell ref="B23:C23"/>
    <mergeCell ref="B24:C24"/>
    <mergeCell ref="B22:C22"/>
    <mergeCell ref="A13:C13"/>
    <mergeCell ref="A15:C15"/>
    <mergeCell ref="A10:B10"/>
    <mergeCell ref="D10:E10"/>
    <mergeCell ref="A16:C16"/>
    <mergeCell ref="D16:E16"/>
    <mergeCell ref="D15:E15"/>
    <mergeCell ref="D11:E11"/>
    <mergeCell ref="A11:B11"/>
    <mergeCell ref="D12:E12"/>
    <mergeCell ref="A12:B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5"/>
  <sheetViews>
    <sheetView zoomScaleNormal="100" workbookViewId="0">
      <pane xSplit="2" ySplit="2" topLeftCell="C78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style="15" customWidth="1"/>
    <col min="2" max="2" width="15.109375" style="15" customWidth="1"/>
    <col min="3" max="3" width="21.109375" style="15" customWidth="1"/>
    <col min="4" max="4" width="16.5546875" style="14" customWidth="1"/>
    <col min="5" max="5" width="15.44140625" style="14" customWidth="1"/>
    <col min="6" max="6" width="7" style="15" bestFit="1" customWidth="1"/>
    <col min="7" max="7" width="27" style="15" customWidth="1"/>
    <col min="8" max="8" width="36.44140625" style="15" customWidth="1"/>
    <col min="9" max="9" width="16.44140625" style="14" customWidth="1"/>
    <col min="10" max="10" width="8.77734375" style="15"/>
    <col min="11" max="11" width="8.77734375" style="15" customWidth="1"/>
    <col min="12" max="12" width="11" style="14" hidden="1" customWidth="1"/>
    <col min="13" max="16384" width="8.77734375" style="15"/>
  </cols>
  <sheetData>
    <row r="1" spans="1:13" ht="18" thickBot="1" x14ac:dyDescent="0.5">
      <c r="A1" s="7">
        <f>'1'!A1+1</f>
        <v>46175</v>
      </c>
      <c r="B1" s="221" t="str">
        <f>'1'!B1:E1</f>
        <v>DADA SALON KABARETT GÜN SONU RAPORU</v>
      </c>
      <c r="C1" s="221"/>
      <c r="D1" s="221"/>
      <c r="E1" s="221"/>
      <c r="F1" s="13"/>
      <c r="G1" s="13"/>
      <c r="H1" s="13"/>
      <c r="J1" s="13"/>
    </row>
    <row r="2" spans="1:13" ht="31.8" thickTop="1" thickBot="1" x14ac:dyDescent="0.5">
      <c r="A2" s="48"/>
      <c r="B2" s="48"/>
      <c r="C2" s="277" t="s">
        <v>17</v>
      </c>
      <c r="D2" s="277"/>
      <c r="E2" s="62">
        <f>D4+D5+D6+D7+D8+D9+D11+D12</f>
        <v>0</v>
      </c>
      <c r="F2" s="48"/>
      <c r="G2" s="70" t="s">
        <v>72</v>
      </c>
      <c r="H2" s="70" t="s">
        <v>9</v>
      </c>
      <c r="I2" s="71" t="s">
        <v>12</v>
      </c>
      <c r="J2" s="48"/>
      <c r="K2" s="48"/>
      <c r="L2" s="50"/>
      <c r="M2" s="48"/>
    </row>
    <row r="3" spans="1:13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K3" s="48"/>
      <c r="L3" s="50" t="s">
        <v>18</v>
      </c>
      <c r="M3" s="48"/>
    </row>
    <row r="4" spans="1:13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  <c r="K4" s="48"/>
      <c r="L4" s="50"/>
      <c r="M4" s="48"/>
    </row>
    <row r="5" spans="1:13" ht="18.600000000000001" thickTop="1" thickBot="1" x14ac:dyDescent="0.5">
      <c r="A5" s="226" t="s">
        <v>110</v>
      </c>
      <c r="B5" s="227"/>
      <c r="C5" s="119"/>
      <c r="D5" s="222"/>
      <c r="E5" s="223"/>
      <c r="F5" s="48"/>
      <c r="G5" s="118"/>
      <c r="H5" s="52"/>
      <c r="I5" s="73"/>
      <c r="J5" s="48"/>
      <c r="K5" s="48"/>
      <c r="L5" s="50"/>
      <c r="M5" s="48"/>
    </row>
    <row r="6" spans="1:13" ht="18.600000000000001" thickTop="1" thickBot="1" x14ac:dyDescent="0.5">
      <c r="A6" s="226" t="s">
        <v>44</v>
      </c>
      <c r="B6" s="227"/>
      <c r="C6" s="119"/>
      <c r="D6" s="222"/>
      <c r="E6" s="223"/>
      <c r="F6" s="48"/>
      <c r="G6" s="118"/>
      <c r="H6" s="52"/>
      <c r="I6" s="73"/>
      <c r="J6" s="48"/>
      <c r="K6" s="48"/>
      <c r="L6" s="50"/>
      <c r="M6" s="48"/>
    </row>
    <row r="7" spans="1:13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K7" s="48"/>
      <c r="L7" s="50"/>
      <c r="M7" s="48"/>
    </row>
    <row r="8" spans="1:13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  <c r="K8" s="48"/>
      <c r="L8" s="50"/>
      <c r="M8" s="48"/>
    </row>
    <row r="9" spans="1:13" ht="18.600000000000001" thickTop="1" thickBot="1" x14ac:dyDescent="0.5">
      <c r="A9" s="226" t="s">
        <v>15</v>
      </c>
      <c r="B9" s="227"/>
      <c r="C9" s="120"/>
      <c r="D9" s="222"/>
      <c r="E9" s="223"/>
      <c r="F9" s="48"/>
      <c r="G9" s="118"/>
      <c r="H9" s="52"/>
      <c r="I9" s="73"/>
      <c r="J9" s="48"/>
      <c r="K9" s="48"/>
      <c r="L9" s="50">
        <v>150</v>
      </c>
      <c r="M9" s="48"/>
    </row>
    <row r="10" spans="1:13" ht="18.600000000000001" thickTop="1" thickBot="1" x14ac:dyDescent="0.5">
      <c r="A10" s="226" t="s">
        <v>100</v>
      </c>
      <c r="B10" s="227"/>
      <c r="C10" s="120"/>
      <c r="D10" s="222"/>
      <c r="E10" s="223"/>
      <c r="F10" s="48"/>
      <c r="G10" s="118"/>
      <c r="H10" s="52"/>
      <c r="I10" s="73"/>
      <c r="J10" s="48"/>
      <c r="K10" s="48"/>
      <c r="L10" s="50"/>
      <c r="M10" s="48"/>
    </row>
    <row r="11" spans="1:13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  <c r="K11" s="48"/>
      <c r="L11" s="50"/>
      <c r="M11" s="48"/>
    </row>
    <row r="12" spans="1:13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  <c r="K12" s="48"/>
      <c r="L12" s="50"/>
      <c r="M12" s="48"/>
    </row>
    <row r="13" spans="1:13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  <c r="K13" s="48"/>
      <c r="L13" s="50"/>
      <c r="M13" s="48"/>
    </row>
    <row r="14" spans="1:13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  <c r="K14" s="48"/>
      <c r="L14" s="50"/>
      <c r="M14" s="48"/>
    </row>
    <row r="15" spans="1:13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  <c r="K15" s="50"/>
      <c r="L15" s="50"/>
      <c r="M15" s="48"/>
    </row>
    <row r="16" spans="1:13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  <c r="K16" s="48"/>
      <c r="L16" s="50"/>
      <c r="M16" s="48"/>
    </row>
    <row r="17" spans="1:13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  <c r="K17" s="48"/>
      <c r="L17" s="50"/>
      <c r="M17" s="48"/>
    </row>
    <row r="18" spans="1:13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  <c r="K18" s="48"/>
      <c r="L18" s="50"/>
      <c r="M18" s="48"/>
    </row>
    <row r="19" spans="1:13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  <c r="K19" s="48"/>
      <c r="L19" s="50"/>
      <c r="M19" s="48"/>
    </row>
    <row r="20" spans="1:13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  <c r="K20" s="48"/>
      <c r="L20" s="50"/>
      <c r="M20" s="48"/>
    </row>
    <row r="21" spans="1:13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  <c r="K21" s="48"/>
      <c r="L21" s="50"/>
      <c r="M21" s="48"/>
    </row>
    <row r="22" spans="1:13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  <c r="K22" s="48"/>
      <c r="L22" s="50"/>
      <c r="M22" s="48"/>
    </row>
    <row r="23" spans="1:13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  <c r="K23" s="48"/>
      <c r="L23" s="50"/>
      <c r="M23" s="48"/>
    </row>
    <row r="24" spans="1:13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  <c r="K24" s="48"/>
      <c r="L24" s="50"/>
      <c r="M24" s="48"/>
    </row>
    <row r="25" spans="1:13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  <c r="K25" s="48"/>
      <c r="L25" s="50"/>
      <c r="M25" s="48"/>
    </row>
    <row r="26" spans="1:13" x14ac:dyDescent="0.3">
      <c r="A26" s="267"/>
      <c r="B26" s="275"/>
      <c r="C26" s="276"/>
      <c r="D26" s="273"/>
      <c r="E26" s="274"/>
      <c r="F26" s="48"/>
      <c r="G26" s="118"/>
      <c r="H26" s="52"/>
      <c r="I26" s="73"/>
      <c r="J26" s="48"/>
      <c r="K26" s="48"/>
      <c r="L26" s="50"/>
      <c r="M26" s="48"/>
    </row>
    <row r="27" spans="1:13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  <c r="K27" s="48"/>
      <c r="L27" s="50"/>
      <c r="M27" s="48"/>
    </row>
    <row r="28" spans="1:13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  <c r="K28" s="48"/>
      <c r="L28" s="50"/>
      <c r="M28" s="48"/>
    </row>
    <row r="29" spans="1:13" x14ac:dyDescent="0.3">
      <c r="A29" s="267"/>
      <c r="B29" s="271"/>
      <c r="C29" s="272"/>
      <c r="D29" s="273"/>
      <c r="E29" s="274"/>
      <c r="F29" s="48"/>
      <c r="G29" s="105"/>
      <c r="H29" s="75"/>
      <c r="I29" s="68"/>
      <c r="J29" s="48"/>
      <c r="K29" s="48"/>
      <c r="L29" s="50"/>
      <c r="M29" s="48"/>
    </row>
    <row r="30" spans="1:13" ht="14.4" customHeight="1" x14ac:dyDescent="0.3">
      <c r="A30" s="267"/>
      <c r="B30" s="230"/>
      <c r="C30" s="231"/>
      <c r="D30" s="228"/>
      <c r="E30" s="229"/>
      <c r="F30" s="48"/>
      <c r="G30" s="105"/>
      <c r="H30" s="75"/>
      <c r="I30" s="68"/>
      <c r="J30" s="48"/>
      <c r="K30" s="48"/>
      <c r="L30" s="50"/>
      <c r="M30" s="48"/>
    </row>
    <row r="31" spans="1:13" x14ac:dyDescent="0.3">
      <c r="A31" s="267"/>
      <c r="B31" s="230"/>
      <c r="C31" s="231"/>
      <c r="D31" s="228"/>
      <c r="E31" s="229"/>
      <c r="F31" s="48"/>
      <c r="G31" s="105"/>
      <c r="H31" s="75"/>
      <c r="I31" s="68"/>
      <c r="J31" s="48"/>
      <c r="K31" s="48"/>
      <c r="L31" s="50"/>
      <c r="M31" s="48"/>
    </row>
    <row r="32" spans="1:13" x14ac:dyDescent="0.3">
      <c r="A32" s="267"/>
      <c r="B32" s="230"/>
      <c r="C32" s="231"/>
      <c r="D32" s="228"/>
      <c r="E32" s="229"/>
      <c r="F32" s="48"/>
      <c r="G32" s="105"/>
      <c r="H32" s="75"/>
      <c r="I32" s="68"/>
      <c r="J32" s="48"/>
      <c r="K32" s="48"/>
      <c r="L32" s="50"/>
      <c r="M32" s="48"/>
    </row>
    <row r="33" spans="1:13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8"/>
      <c r="K33" s="48"/>
      <c r="L33" s="50"/>
      <c r="M33" s="48"/>
    </row>
    <row r="34" spans="1:13" s="16" customFormat="1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  <c r="K34" s="48"/>
      <c r="L34" s="50"/>
      <c r="M34" s="48"/>
    </row>
    <row r="35" spans="1:13" ht="73.2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J35" s="49"/>
      <c r="K35" s="49"/>
      <c r="L35" s="6"/>
      <c r="M35" s="49"/>
    </row>
    <row r="36" spans="1:13" ht="73.2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J36" s="49"/>
      <c r="K36" s="49"/>
      <c r="L36" s="6"/>
      <c r="M36" s="49"/>
    </row>
    <row r="37" spans="1:13" ht="18.600000000000001" thickTop="1" thickBot="1" x14ac:dyDescent="0.5">
      <c r="A37" s="127">
        <f>'1'!E37</f>
        <v>3748.4799999999814</v>
      </c>
      <c r="B37" s="128"/>
      <c r="C37" s="128">
        <f>D19</f>
        <v>0</v>
      </c>
      <c r="D37" s="128">
        <f>A37+B37+D15-C37</f>
        <v>3748.4799999999814</v>
      </c>
      <c r="E37" s="131">
        <f>D37</f>
        <v>3748.4799999999814</v>
      </c>
      <c r="F37" s="134">
        <f>E37-D37</f>
        <v>0</v>
      </c>
      <c r="G37" s="132"/>
      <c r="H37" s="75"/>
      <c r="I37" s="68"/>
      <c r="J37" s="49"/>
      <c r="K37" s="6"/>
      <c r="L37" s="6"/>
      <c r="M37" s="49"/>
    </row>
    <row r="38" spans="1:13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J38" s="49"/>
      <c r="K38" s="49"/>
      <c r="L38" s="6"/>
      <c r="M38" s="49"/>
    </row>
    <row r="39" spans="1:13" ht="18.600000000000001" thickTop="1" thickBot="1" x14ac:dyDescent="0.35">
      <c r="A39" s="59" t="s">
        <v>73</v>
      </c>
      <c r="B39" s="116">
        <f>'1'!E39</f>
        <v>918220</v>
      </c>
      <c r="C39" s="116"/>
      <c r="D39" s="116"/>
      <c r="E39" s="116">
        <f>B39+C39-D39</f>
        <v>918220</v>
      </c>
      <c r="F39" s="49"/>
      <c r="G39" s="96"/>
      <c r="H39" s="75"/>
      <c r="I39" s="68"/>
      <c r="J39" s="49"/>
      <c r="K39" s="49"/>
      <c r="L39" s="6"/>
      <c r="M39" s="49"/>
    </row>
    <row r="40" spans="1:13" ht="18.600000000000001" thickTop="1" thickBot="1" x14ac:dyDescent="0.35">
      <c r="A40" s="59" t="s">
        <v>111</v>
      </c>
      <c r="B40" s="116">
        <f>'1'!E40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9"/>
      <c r="K40" s="49"/>
      <c r="L40" s="6"/>
      <c r="M40" s="49"/>
    </row>
    <row r="41" spans="1:13" s="16" customFormat="1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  <c r="K41" s="48"/>
      <c r="L41" s="50"/>
      <c r="M41" s="48"/>
    </row>
    <row r="42" spans="1:13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9"/>
      <c r="K42" s="49"/>
      <c r="L42" s="6"/>
      <c r="M42" s="49"/>
    </row>
    <row r="43" spans="1:13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  <c r="K43" s="48"/>
      <c r="L43" s="50"/>
      <c r="M43" s="48"/>
    </row>
    <row r="44" spans="1:13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  <c r="K44" s="48"/>
      <c r="L44" s="50"/>
      <c r="M44" s="48"/>
    </row>
    <row r="45" spans="1:13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  <c r="K45" s="48"/>
      <c r="L45" s="50"/>
      <c r="M45" s="48"/>
    </row>
    <row r="46" spans="1:13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  <c r="K46" s="48"/>
      <c r="L46" s="50"/>
      <c r="M46" s="48"/>
    </row>
    <row r="47" spans="1:13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  <c r="K47" s="48"/>
      <c r="L47" s="50"/>
      <c r="M47" s="48"/>
    </row>
    <row r="48" spans="1:13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  <c r="K48" s="48"/>
      <c r="L48" s="50"/>
      <c r="M48" s="48"/>
    </row>
    <row r="49" spans="1:13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  <c r="K49" s="48"/>
      <c r="L49" s="50"/>
      <c r="M49" s="48"/>
    </row>
    <row r="50" spans="1:13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  <c r="K50" s="48"/>
      <c r="L50" s="50"/>
      <c r="M50" s="48"/>
    </row>
    <row r="51" spans="1:13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  <c r="K51" s="48"/>
      <c r="L51" s="50"/>
      <c r="M51" s="48"/>
    </row>
    <row r="52" spans="1:13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  <c r="K52" s="48"/>
      <c r="L52" s="50"/>
      <c r="M52" s="48"/>
    </row>
    <row r="53" spans="1:13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  <c r="K53" s="48"/>
      <c r="L53" s="50"/>
      <c r="M53" s="48"/>
    </row>
    <row r="54" spans="1:13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  <c r="K54" s="48"/>
      <c r="L54" s="50"/>
      <c r="M54" s="48"/>
    </row>
    <row r="55" spans="1:13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  <c r="K55" s="48"/>
      <c r="L55" s="50"/>
      <c r="M55" s="48"/>
    </row>
    <row r="56" spans="1:13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  <c r="K56" s="48"/>
      <c r="L56" s="50"/>
      <c r="M56" s="48"/>
    </row>
    <row r="57" spans="1:13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  <c r="K57" s="48"/>
      <c r="L57" s="50"/>
      <c r="M57" s="48"/>
    </row>
    <row r="58" spans="1:13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  <c r="K58" s="48"/>
      <c r="L58" s="50"/>
      <c r="M58" s="48"/>
    </row>
    <row r="59" spans="1:13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  <c r="K59" s="48"/>
      <c r="L59" s="50"/>
      <c r="M59" s="48"/>
    </row>
    <row r="60" spans="1:13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  <c r="K60" s="48"/>
      <c r="L60" s="50"/>
      <c r="M60" s="48"/>
    </row>
    <row r="61" spans="1:13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  <c r="K61" s="48"/>
      <c r="L61" s="50"/>
      <c r="M61" s="48"/>
    </row>
    <row r="62" spans="1:13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  <c r="K62" s="48"/>
      <c r="L62" s="50"/>
      <c r="M62" s="48"/>
    </row>
    <row r="63" spans="1:13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  <c r="K63" s="48"/>
      <c r="L63" s="50"/>
      <c r="M63" s="48"/>
    </row>
    <row r="64" spans="1:13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  <c r="K64" s="48"/>
      <c r="L64" s="50"/>
      <c r="M64" s="48"/>
    </row>
    <row r="65" spans="1:13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  <c r="K65" s="48"/>
      <c r="L65" s="50"/>
      <c r="M65" s="48"/>
    </row>
    <row r="66" spans="1:13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  <c r="K66" s="48"/>
      <c r="L66" s="50"/>
      <c r="M66" s="48"/>
    </row>
    <row r="67" spans="1:13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  <c r="K67" s="48"/>
      <c r="L67" s="50"/>
      <c r="M67" s="48"/>
    </row>
    <row r="68" spans="1:13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  <c r="K68" s="48"/>
      <c r="L68" s="50"/>
      <c r="M68" s="48"/>
    </row>
    <row r="69" spans="1:13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  <c r="K69" s="48"/>
      <c r="L69" s="50"/>
      <c r="M69" s="48"/>
    </row>
    <row r="70" spans="1:13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  <c r="K70" s="48"/>
      <c r="L70" s="50"/>
      <c r="M70" s="48"/>
    </row>
    <row r="71" spans="1:13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  <c r="K71" s="48"/>
      <c r="L71" s="50"/>
      <c r="M71" s="48"/>
    </row>
    <row r="72" spans="1:13" x14ac:dyDescent="0.3">
      <c r="A72" s="87" t="s">
        <v>96</v>
      </c>
      <c r="B72" s="147"/>
      <c r="C72" s="48"/>
      <c r="D72" s="50"/>
      <c r="E72" s="50"/>
      <c r="F72" s="48"/>
      <c r="G72" s="105"/>
      <c r="H72" s="75"/>
      <c r="I72" s="68"/>
      <c r="J72" s="48"/>
      <c r="K72" s="48"/>
      <c r="L72" s="50"/>
      <c r="M72" s="48"/>
    </row>
    <row r="73" spans="1:13" ht="15" thickBot="1" x14ac:dyDescent="0.35">
      <c r="A73" s="160" t="s">
        <v>97</v>
      </c>
      <c r="B73" s="161"/>
      <c r="C73" s="48"/>
      <c r="D73" s="50"/>
      <c r="E73" s="50"/>
      <c r="F73" s="48"/>
      <c r="G73" s="105"/>
      <c r="H73" s="75"/>
      <c r="I73" s="68"/>
      <c r="J73" s="48"/>
      <c r="K73" s="48"/>
      <c r="L73" s="50"/>
      <c r="M73" s="48"/>
    </row>
    <row r="74" spans="1:13" ht="29.4" thickTop="1" x14ac:dyDescent="0.3">
      <c r="A74" s="87" t="s">
        <v>104</v>
      </c>
      <c r="B74" s="147"/>
      <c r="C74" s="48"/>
      <c r="D74" s="50"/>
      <c r="E74" s="50"/>
      <c r="F74" s="48"/>
      <c r="G74" s="105"/>
      <c r="H74" s="75"/>
      <c r="I74" s="68"/>
      <c r="J74" s="48"/>
      <c r="K74" s="48"/>
      <c r="L74" s="50"/>
      <c r="M74" s="48"/>
    </row>
    <row r="75" spans="1:13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  <c r="K75" s="48"/>
      <c r="L75" s="50"/>
      <c r="M75" s="48"/>
    </row>
    <row r="76" spans="1:13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  <c r="K76" s="48"/>
      <c r="L76" s="50"/>
      <c r="M76" s="48"/>
    </row>
    <row r="77" spans="1:13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  <c r="J77" s="48"/>
      <c r="K77" s="48"/>
      <c r="L77" s="50"/>
      <c r="M77" s="48"/>
    </row>
    <row r="78" spans="1:13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  <c r="K78" s="48"/>
      <c r="L78" s="50"/>
      <c r="M78" s="48"/>
    </row>
    <row r="79" spans="1:13" x14ac:dyDescent="0.3">
      <c r="A79" s="83" t="s">
        <v>48</v>
      </c>
      <c r="B79" s="64"/>
      <c r="C79" s="48"/>
      <c r="D79" s="50"/>
      <c r="E79" s="50"/>
      <c r="F79" s="48"/>
      <c r="G79" s="105"/>
      <c r="H79" s="78"/>
      <c r="I79" s="79"/>
      <c r="J79" s="48"/>
      <c r="K79" s="48"/>
      <c r="L79" s="50"/>
      <c r="M79" s="48"/>
    </row>
    <row r="80" spans="1:13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  <c r="K80" s="48"/>
      <c r="L80" s="50"/>
      <c r="M80" s="48"/>
    </row>
    <row r="81" spans="1:13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  <c r="K81" s="48"/>
      <c r="L81" s="50"/>
      <c r="M81" s="48"/>
    </row>
    <row r="82" spans="1:13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  <c r="K82" s="48"/>
      <c r="L82" s="50"/>
      <c r="M82" s="48"/>
    </row>
    <row r="83" spans="1:13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  <c r="K83" s="48"/>
      <c r="L83" s="50"/>
      <c r="M83" s="48"/>
    </row>
    <row r="84" spans="1:13" ht="15.6" customHeight="1" thickTop="1" thickBot="1" x14ac:dyDescent="0.35">
      <c r="A84" s="278"/>
      <c r="B84" s="279"/>
      <c r="C84" s="279"/>
      <c r="D84" s="279"/>
      <c r="E84" s="280"/>
      <c r="F84" s="48"/>
      <c r="G84" s="48"/>
      <c r="H84" s="66" t="s">
        <v>26</v>
      </c>
      <c r="I84" s="67"/>
      <c r="J84" s="48"/>
      <c r="K84" s="48"/>
      <c r="L84" s="50"/>
      <c r="M84" s="48"/>
    </row>
    <row r="85" spans="1:13" ht="15.6" customHeight="1" thickTop="1" thickBot="1" x14ac:dyDescent="0.35">
      <c r="A85" s="278"/>
      <c r="B85" s="279"/>
      <c r="C85" s="279"/>
      <c r="D85" s="279"/>
      <c r="E85" s="280"/>
      <c r="F85" s="48"/>
      <c r="G85" s="48"/>
      <c r="H85" s="48"/>
      <c r="I85" s="50"/>
      <c r="J85" s="48"/>
      <c r="K85" s="48"/>
      <c r="L85" s="50"/>
      <c r="M85" s="48"/>
    </row>
    <row r="86" spans="1:13" ht="15.6" customHeight="1" thickTop="1" thickBot="1" x14ac:dyDescent="0.35">
      <c r="A86" s="278"/>
      <c r="B86" s="279"/>
      <c r="C86" s="279"/>
      <c r="D86" s="279"/>
      <c r="E86" s="280"/>
      <c r="F86" s="48"/>
      <c r="G86" s="48"/>
      <c r="H86" s="48"/>
      <c r="I86" s="50"/>
      <c r="J86" s="48"/>
      <c r="K86" s="48"/>
      <c r="L86" s="50"/>
      <c r="M86" s="48"/>
    </row>
    <row r="87" spans="1:13" ht="15.6" customHeight="1" thickTop="1" thickBot="1" x14ac:dyDescent="0.35">
      <c r="A87" s="278"/>
      <c r="B87" s="279"/>
      <c r="C87" s="279"/>
      <c r="D87" s="279"/>
      <c r="E87" s="280"/>
      <c r="F87" s="48"/>
      <c r="G87" s="48"/>
      <c r="H87" s="48"/>
      <c r="I87" s="50"/>
      <c r="J87" s="48"/>
      <c r="K87" s="48"/>
      <c r="L87" s="50"/>
      <c r="M87" s="48"/>
    </row>
    <row r="88" spans="1:13" ht="15.6" customHeight="1" thickTop="1" thickBot="1" x14ac:dyDescent="0.35">
      <c r="A88" s="278"/>
      <c r="B88" s="279"/>
      <c r="C88" s="279"/>
      <c r="D88" s="279"/>
      <c r="E88" s="280"/>
      <c r="F88" s="48"/>
      <c r="G88" s="48"/>
      <c r="H88" s="48"/>
      <c r="I88" s="50"/>
      <c r="J88" s="48"/>
      <c r="K88" s="48"/>
      <c r="L88" s="50"/>
      <c r="M88" s="48"/>
    </row>
    <row r="89" spans="1:13" ht="15.6" customHeight="1" thickTop="1" thickBot="1" x14ac:dyDescent="0.35">
      <c r="A89" s="278"/>
      <c r="B89" s="279"/>
      <c r="C89" s="279"/>
      <c r="D89" s="279"/>
      <c r="E89" s="280"/>
      <c r="F89" s="48"/>
      <c r="G89" s="48"/>
      <c r="H89" s="48"/>
      <c r="I89" s="50"/>
      <c r="J89" s="48"/>
      <c r="K89" s="48"/>
      <c r="L89" s="50"/>
      <c r="M89" s="48"/>
    </row>
    <row r="90" spans="1:13" ht="15.6" customHeight="1" thickTop="1" thickBot="1" x14ac:dyDescent="0.35">
      <c r="A90" s="278"/>
      <c r="B90" s="279"/>
      <c r="C90" s="279"/>
      <c r="D90" s="279"/>
      <c r="E90" s="280"/>
      <c r="F90" s="48"/>
      <c r="G90" s="48"/>
      <c r="H90" s="48"/>
      <c r="I90" s="50"/>
      <c r="J90" s="48"/>
      <c r="K90" s="48"/>
      <c r="L90" s="50"/>
      <c r="M90" s="48"/>
    </row>
    <row r="91" spans="1:13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  <c r="K91" s="48"/>
      <c r="L91" s="50"/>
      <c r="M91" s="48"/>
    </row>
    <row r="92" spans="1:13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  <c r="K92" s="48"/>
      <c r="L92" s="50"/>
      <c r="M92" s="48"/>
    </row>
    <row r="93" spans="1:13" ht="25.8" x14ac:dyDescent="0.5">
      <c r="A93" s="164" t="s">
        <v>14</v>
      </c>
      <c r="B93" s="165" t="s">
        <v>103</v>
      </c>
      <c r="C93" s="48"/>
      <c r="D93" s="50"/>
      <c r="E93" s="50"/>
      <c r="F93" s="48"/>
      <c r="G93" s="48"/>
      <c r="H93" s="48"/>
      <c r="I93" s="50"/>
      <c r="J93" s="48"/>
      <c r="K93" s="48"/>
      <c r="L93" s="50"/>
      <c r="M93" s="48"/>
    </row>
    <row r="94" spans="1:13" x14ac:dyDescent="0.3">
      <c r="A94" s="48"/>
      <c r="B94" s="48"/>
      <c r="C94" s="48"/>
      <c r="D94" s="50"/>
      <c r="E94" s="50"/>
      <c r="F94" s="48"/>
      <c r="J94" s="48"/>
      <c r="K94" s="48"/>
      <c r="L94" s="50"/>
      <c r="M94" s="48"/>
    </row>
    <row r="95" spans="1:13" x14ac:dyDescent="0.3">
      <c r="A95"/>
      <c r="B95"/>
      <c r="C95"/>
      <c r="D95" s="3"/>
      <c r="E95" s="3"/>
      <c r="F95"/>
    </row>
  </sheetData>
  <mergeCells count="96">
    <mergeCell ref="A11:B11"/>
    <mergeCell ref="D11:E11"/>
    <mergeCell ref="D14:E14"/>
    <mergeCell ref="A18:E18"/>
    <mergeCell ref="A19:C19"/>
    <mergeCell ref="D19:E19"/>
    <mergeCell ref="A17:C17"/>
    <mergeCell ref="D17:E17"/>
    <mergeCell ref="D13:E13"/>
    <mergeCell ref="A14:C14"/>
    <mergeCell ref="D12:E12"/>
    <mergeCell ref="A15:C15"/>
    <mergeCell ref="D15:E15"/>
    <mergeCell ref="A16:C16"/>
    <mergeCell ref="D16:E16"/>
    <mergeCell ref="A12:B12"/>
    <mergeCell ref="A41:D41"/>
    <mergeCell ref="C45:D45"/>
    <mergeCell ref="C46:D46"/>
    <mergeCell ref="C47:D47"/>
    <mergeCell ref="B33:C33"/>
    <mergeCell ref="A84:E90"/>
    <mergeCell ref="C68:D68"/>
    <mergeCell ref="C65:D65"/>
    <mergeCell ref="C66:D66"/>
    <mergeCell ref="C67:D67"/>
    <mergeCell ref="B25:C25"/>
    <mergeCell ref="D29:E29"/>
    <mergeCell ref="B30:C30"/>
    <mergeCell ref="D30:E30"/>
    <mergeCell ref="A83:E83"/>
    <mergeCell ref="C62:D62"/>
    <mergeCell ref="C63:D63"/>
    <mergeCell ref="C64:D64"/>
    <mergeCell ref="C48:D48"/>
    <mergeCell ref="D33:E33"/>
    <mergeCell ref="C42:D42"/>
    <mergeCell ref="C43:D43"/>
    <mergeCell ref="C44:D44"/>
    <mergeCell ref="C49:D49"/>
    <mergeCell ref="C50:D50"/>
    <mergeCell ref="C61:D61"/>
    <mergeCell ref="B1:E1"/>
    <mergeCell ref="C2:D2"/>
    <mergeCell ref="D8:E8"/>
    <mergeCell ref="A9:B9"/>
    <mergeCell ref="D9:E9"/>
    <mergeCell ref="A3:B3"/>
    <mergeCell ref="A8:B8"/>
    <mergeCell ref="A4:B4"/>
    <mergeCell ref="D4:E4"/>
    <mergeCell ref="A6:B6"/>
    <mergeCell ref="D6:E6"/>
    <mergeCell ref="A7:B7"/>
    <mergeCell ref="D7:E7"/>
    <mergeCell ref="A5:B5"/>
    <mergeCell ref="D5:E5"/>
    <mergeCell ref="C51:D51"/>
    <mergeCell ref="C52:D52"/>
    <mergeCell ref="C53:D53"/>
    <mergeCell ref="D23:E23"/>
    <mergeCell ref="B20:C20"/>
    <mergeCell ref="D22:E22"/>
    <mergeCell ref="B23:C23"/>
    <mergeCell ref="D34:E34"/>
    <mergeCell ref="A34:C34"/>
    <mergeCell ref="B31:C31"/>
    <mergeCell ref="D31:E31"/>
    <mergeCell ref="B29:C29"/>
    <mergeCell ref="D21:E21"/>
    <mergeCell ref="B26:C26"/>
    <mergeCell ref="B35:E35"/>
    <mergeCell ref="B32:C32"/>
    <mergeCell ref="C59:D59"/>
    <mergeCell ref="C60:D60"/>
    <mergeCell ref="C54:D54"/>
    <mergeCell ref="C55:D55"/>
    <mergeCell ref="C56:D56"/>
    <mergeCell ref="C57:D57"/>
    <mergeCell ref="C58:D58"/>
    <mergeCell ref="A10:B10"/>
    <mergeCell ref="D10:E10"/>
    <mergeCell ref="A13:C13"/>
    <mergeCell ref="D20:E20"/>
    <mergeCell ref="B21:C21"/>
    <mergeCell ref="A20:A33"/>
    <mergeCell ref="D32:E32"/>
    <mergeCell ref="B22:C22"/>
    <mergeCell ref="B27:C27"/>
    <mergeCell ref="B28:C28"/>
    <mergeCell ref="D24:E24"/>
    <mergeCell ref="D25:E25"/>
    <mergeCell ref="D26:E26"/>
    <mergeCell ref="D27:E27"/>
    <mergeCell ref="D28:E28"/>
    <mergeCell ref="B24:C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94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0.33203125" bestFit="1" customWidth="1"/>
    <col min="7" max="7" width="25.886718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'2'!A1+1</f>
        <v>46176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</row>
    <row r="21" spans="1:12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</row>
    <row r="22" spans="1:12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</row>
    <row r="23" spans="1:12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</row>
    <row r="24" spans="1:12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</row>
    <row r="25" spans="1:12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</row>
    <row r="26" spans="1:12" x14ac:dyDescent="0.3">
      <c r="A26" s="267"/>
      <c r="B26" s="287"/>
      <c r="C26" s="288"/>
      <c r="D26" s="273"/>
      <c r="E26" s="274"/>
      <c r="F26" s="48"/>
      <c r="G26" s="118"/>
      <c r="H26" s="52"/>
      <c r="I26" s="73"/>
      <c r="J26" s="48"/>
    </row>
    <row r="27" spans="1:12" s="47" customFormat="1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  <c r="L27" s="46"/>
    </row>
    <row r="28" spans="1:12" s="47" customFormat="1" x14ac:dyDescent="0.3">
      <c r="A28" s="267"/>
      <c r="B28" s="232"/>
      <c r="C28" s="233"/>
      <c r="D28" s="234"/>
      <c r="E28" s="235"/>
      <c r="F28" s="48"/>
      <c r="G28" s="105"/>
      <c r="H28" s="75"/>
      <c r="I28" s="68"/>
      <c r="J28" s="48"/>
      <c r="L28" s="46"/>
    </row>
    <row r="29" spans="1:12" s="47" customFormat="1" x14ac:dyDescent="0.3">
      <c r="A29" s="267"/>
      <c r="B29" s="230"/>
      <c r="C29" s="231"/>
      <c r="D29" s="228"/>
      <c r="E29" s="229"/>
      <c r="F29" s="48"/>
      <c r="G29" s="105"/>
      <c r="H29" s="75"/>
      <c r="I29" s="68"/>
      <c r="J29" s="48"/>
      <c r="L29" s="46"/>
    </row>
    <row r="30" spans="1:12" s="47" customFormat="1" x14ac:dyDescent="0.3">
      <c r="A30" s="267"/>
      <c r="B30" s="230"/>
      <c r="C30" s="231"/>
      <c r="D30" s="228"/>
      <c r="E30" s="229"/>
      <c r="F30" s="48"/>
      <c r="G30" s="96"/>
      <c r="H30" s="69"/>
      <c r="I30" s="74"/>
      <c r="J30" s="48"/>
      <c r="L30" s="46"/>
    </row>
    <row r="31" spans="1:12" s="47" customFormat="1" x14ac:dyDescent="0.3">
      <c r="A31" s="267"/>
      <c r="B31" s="230"/>
      <c r="C31" s="231"/>
      <c r="D31" s="228"/>
      <c r="E31" s="229"/>
      <c r="F31" s="48"/>
      <c r="G31" s="96"/>
      <c r="H31" s="75"/>
      <c r="I31" s="68"/>
      <c r="J31" s="48"/>
      <c r="L31" s="46"/>
    </row>
    <row r="32" spans="1:12" x14ac:dyDescent="0.3">
      <c r="A32" s="267"/>
      <c r="B32" s="230"/>
      <c r="C32" s="231"/>
      <c r="D32" s="228"/>
      <c r="E32" s="229"/>
      <c r="F32" s="48"/>
      <c r="G32" s="132"/>
      <c r="H32" s="75"/>
      <c r="I32" s="68"/>
      <c r="J32" s="4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9"/>
      <c r="L33" s="6"/>
    </row>
    <row r="34" spans="1:12" ht="26.4" thickTop="1" thickBot="1" x14ac:dyDescent="0.35">
      <c r="A34" s="282" t="s">
        <v>90</v>
      </c>
      <c r="B34" s="283"/>
      <c r="C34" s="284"/>
      <c r="D34" s="285">
        <f>D15+D13-D19</f>
        <v>0</v>
      </c>
      <c r="E34" s="286"/>
      <c r="F34" s="48"/>
      <c r="G34" s="96"/>
      <c r="H34" s="69"/>
      <c r="I34" s="74"/>
      <c r="J34" s="48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'2'!E37</f>
        <v>3748.4799999999814</v>
      </c>
      <c r="B37" s="128"/>
      <c r="C37" s="128">
        <f>D19</f>
        <v>0</v>
      </c>
      <c r="D37" s="128">
        <f>A37+B37+D15-C37</f>
        <v>3748.4799999999814</v>
      </c>
      <c r="E37" s="131">
        <f>D37</f>
        <v>3748.4799999999814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'2'!E39</f>
        <v>918220</v>
      </c>
      <c r="C39" s="116"/>
      <c r="D39" s="116"/>
      <c r="E39" s="116">
        <f>B39+C39-D39</f>
        <v>918220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'[2]2'!E40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9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</row>
    <row r="49" spans="1:10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</row>
    <row r="50" spans="1:10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</row>
    <row r="51" spans="1:10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</row>
    <row r="52" spans="1:10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</row>
    <row r="53" spans="1:10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</row>
    <row r="54" spans="1:10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</row>
    <row r="55" spans="1:10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</row>
    <row r="56" spans="1:10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</row>
    <row r="57" spans="1:10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</row>
    <row r="58" spans="1:10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</row>
    <row r="59" spans="1:10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</row>
    <row r="60" spans="1:10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</row>
    <row r="61" spans="1:10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</row>
    <row r="62" spans="1:10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</row>
    <row r="63" spans="1:10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</row>
    <row r="64" spans="1:10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  <c r="J74" s="4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</row>
    <row r="77" spans="1:12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  <c r="J77" s="4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</row>
    <row r="79" spans="1:12" x14ac:dyDescent="0.3">
      <c r="A79" s="83" t="s">
        <v>98</v>
      </c>
      <c r="B79" s="64"/>
      <c r="C79" s="48"/>
      <c r="D79" s="50"/>
      <c r="E79" s="50"/>
      <c r="F79" s="48"/>
      <c r="G79" s="105"/>
      <c r="H79" s="78"/>
      <c r="I79" s="79"/>
      <c r="J79" s="48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</row>
    <row r="81" spans="1:10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</row>
    <row r="82" spans="1:10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</row>
    <row r="83" spans="1:10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</row>
    <row r="84" spans="1:10" ht="15.6" customHeight="1" thickTop="1" thickBot="1" x14ac:dyDescent="0.35">
      <c r="A84" s="278"/>
      <c r="B84" s="279"/>
      <c r="C84" s="279"/>
      <c r="D84" s="279"/>
      <c r="E84" s="280"/>
      <c r="F84" s="48"/>
      <c r="G84" s="48"/>
      <c r="H84" s="66" t="s">
        <v>26</v>
      </c>
      <c r="I84" s="67"/>
      <c r="J84" s="48"/>
    </row>
    <row r="85" spans="1:10" ht="15.6" customHeight="1" thickTop="1" thickBot="1" x14ac:dyDescent="0.35">
      <c r="A85" s="278"/>
      <c r="B85" s="279"/>
      <c r="C85" s="279"/>
      <c r="D85" s="279"/>
      <c r="E85" s="280"/>
      <c r="F85" s="48"/>
      <c r="G85" s="48"/>
      <c r="H85" s="48"/>
      <c r="I85" s="50"/>
      <c r="J85" s="48"/>
    </row>
    <row r="86" spans="1:10" ht="15.6" customHeight="1" thickTop="1" thickBot="1" x14ac:dyDescent="0.35">
      <c r="A86" s="278"/>
      <c r="B86" s="279"/>
      <c r="C86" s="279"/>
      <c r="D86" s="279"/>
      <c r="E86" s="280"/>
      <c r="F86" s="48"/>
      <c r="G86" s="48"/>
      <c r="H86" s="48"/>
      <c r="I86" s="50"/>
      <c r="J86" s="48"/>
    </row>
    <row r="87" spans="1:10" ht="15.6" customHeight="1" thickTop="1" thickBot="1" x14ac:dyDescent="0.35">
      <c r="A87" s="278"/>
      <c r="B87" s="279"/>
      <c r="C87" s="279"/>
      <c r="D87" s="279"/>
      <c r="E87" s="280"/>
      <c r="F87" s="48"/>
      <c r="G87" s="48"/>
      <c r="H87" s="48"/>
      <c r="I87" s="50"/>
      <c r="J87" s="48"/>
    </row>
    <row r="88" spans="1:10" ht="15.6" customHeight="1" thickTop="1" thickBot="1" x14ac:dyDescent="0.35">
      <c r="A88" s="278"/>
      <c r="B88" s="279"/>
      <c r="C88" s="279"/>
      <c r="D88" s="279"/>
      <c r="E88" s="280"/>
      <c r="F88" s="48"/>
      <c r="G88" s="48"/>
      <c r="H88" s="48"/>
      <c r="I88" s="50"/>
      <c r="J88" s="48"/>
    </row>
    <row r="89" spans="1:10" ht="15.6" customHeight="1" thickTop="1" thickBot="1" x14ac:dyDescent="0.35">
      <c r="A89" s="278"/>
      <c r="B89" s="279"/>
      <c r="C89" s="279"/>
      <c r="D89" s="279"/>
      <c r="E89" s="280"/>
      <c r="F89" s="48"/>
      <c r="G89" s="48"/>
      <c r="H89" s="48"/>
      <c r="I89" s="50"/>
      <c r="J89" s="48"/>
    </row>
    <row r="90" spans="1:10" ht="15.6" customHeight="1" thickTop="1" thickBot="1" x14ac:dyDescent="0.35">
      <c r="A90" s="278"/>
      <c r="B90" s="279"/>
      <c r="C90" s="279"/>
      <c r="D90" s="279"/>
      <c r="E90" s="280"/>
      <c r="F90" s="48"/>
      <c r="G90" s="48"/>
      <c r="H90" s="48"/>
      <c r="I90" s="50"/>
      <c r="J90" s="48"/>
    </row>
    <row r="91" spans="1:10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</row>
    <row r="92" spans="1:10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</row>
    <row r="93" spans="1:10" ht="25.8" x14ac:dyDescent="0.5">
      <c r="A93" s="164" t="s">
        <v>14</v>
      </c>
      <c r="B93" s="165" t="s">
        <v>103</v>
      </c>
      <c r="C93" s="48"/>
      <c r="D93" s="50"/>
      <c r="E93" s="50"/>
      <c r="F93" s="48"/>
      <c r="G93" s="48"/>
      <c r="H93" s="48"/>
      <c r="I93" s="50"/>
    </row>
    <row r="94" spans="1:10" x14ac:dyDescent="0.3">
      <c r="A94" s="48"/>
      <c r="B94" s="48"/>
      <c r="C94" s="48"/>
      <c r="D94" s="50"/>
      <c r="E94" s="50"/>
      <c r="F94" s="48"/>
      <c r="G94" s="48"/>
      <c r="H94" s="48"/>
      <c r="I94" s="50"/>
    </row>
  </sheetData>
  <mergeCells count="96">
    <mergeCell ref="B26:C26"/>
    <mergeCell ref="C59:D59"/>
    <mergeCell ref="C48:D48"/>
    <mergeCell ref="D12:E12"/>
    <mergeCell ref="A13:C13"/>
    <mergeCell ref="D13:E13"/>
    <mergeCell ref="C52:D52"/>
    <mergeCell ref="C53:D53"/>
    <mergeCell ref="C54:D54"/>
    <mergeCell ref="C55:D55"/>
    <mergeCell ref="C56:D56"/>
    <mergeCell ref="C57:D57"/>
    <mergeCell ref="C58:D58"/>
    <mergeCell ref="D26:E26"/>
    <mergeCell ref="C49:D49"/>
    <mergeCell ref="C50:D50"/>
    <mergeCell ref="C51:D51"/>
    <mergeCell ref="A9:B9"/>
    <mergeCell ref="D9:E9"/>
    <mergeCell ref="C67:D67"/>
    <mergeCell ref="C66:D66"/>
    <mergeCell ref="C60:D60"/>
    <mergeCell ref="C61:D61"/>
    <mergeCell ref="C62:D62"/>
    <mergeCell ref="C63:D63"/>
    <mergeCell ref="C64:D64"/>
    <mergeCell ref="C65:D65"/>
    <mergeCell ref="C42:D42"/>
    <mergeCell ref="C43:D43"/>
    <mergeCell ref="C44:D44"/>
    <mergeCell ref="C45:D45"/>
    <mergeCell ref="B32:C32"/>
    <mergeCell ref="D33:E33"/>
    <mergeCell ref="B30:C30"/>
    <mergeCell ref="B31:C31"/>
    <mergeCell ref="D27:E27"/>
    <mergeCell ref="D31:E31"/>
    <mergeCell ref="D29:E29"/>
    <mergeCell ref="D30:E30"/>
    <mergeCell ref="D28:E28"/>
    <mergeCell ref="B27:C27"/>
    <mergeCell ref="B28:C28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A11:B11"/>
    <mergeCell ref="A16:C16"/>
    <mergeCell ref="D16:E16"/>
    <mergeCell ref="D15:E15"/>
    <mergeCell ref="D11:E11"/>
    <mergeCell ref="A14:C14"/>
    <mergeCell ref="D14:E14"/>
    <mergeCell ref="A15:C15"/>
    <mergeCell ref="A12:B12"/>
    <mergeCell ref="B25:C25"/>
    <mergeCell ref="C47:D47"/>
    <mergeCell ref="A17:C17"/>
    <mergeCell ref="D17:E17"/>
    <mergeCell ref="A18:E18"/>
    <mergeCell ref="A19:C19"/>
    <mergeCell ref="A41:D41"/>
    <mergeCell ref="D25:E25"/>
    <mergeCell ref="D19:E19"/>
    <mergeCell ref="B20:C20"/>
    <mergeCell ref="D20:E20"/>
    <mergeCell ref="B21:C21"/>
    <mergeCell ref="B22:C22"/>
    <mergeCell ref="D32:E32"/>
    <mergeCell ref="C46:D46"/>
    <mergeCell ref="B29:C2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D22:E22"/>
    <mergeCell ref="B23:C23"/>
    <mergeCell ref="D21:E21"/>
    <mergeCell ref="D23:E23"/>
    <mergeCell ref="B24:C24"/>
    <mergeCell ref="D24:E24"/>
  </mergeCells>
  <pageMargins left="0.11811023622047245" right="0.11811023622047245" top="0.35433070866141736" bottom="0.35433070866141736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5"/>
  <sheetViews>
    <sheetView workbookViewId="0">
      <pane xSplit="2" ySplit="2" topLeftCell="C27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7" max="7" width="31.886718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'3'!A1+1</f>
        <v>46177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L4" s="3">
        <v>150</v>
      </c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12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12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12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12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12" s="47" customFormat="1" x14ac:dyDescent="0.3">
      <c r="A26" s="267"/>
      <c r="B26" s="287"/>
      <c r="C26" s="288"/>
      <c r="D26" s="273"/>
      <c r="E26" s="274"/>
      <c r="F26" s="48"/>
      <c r="G26" s="118"/>
      <c r="H26" s="52"/>
      <c r="I26" s="73"/>
      <c r="L26" s="46"/>
    </row>
    <row r="27" spans="1:12" s="47" customFormat="1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L27" s="46"/>
    </row>
    <row r="28" spans="1:12" s="47" customFormat="1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L28" s="46"/>
    </row>
    <row r="29" spans="1:12" s="47" customFormat="1" x14ac:dyDescent="0.3">
      <c r="A29" s="267"/>
      <c r="B29" s="271"/>
      <c r="C29" s="272"/>
      <c r="D29" s="273"/>
      <c r="E29" s="274"/>
      <c r="F29" s="48"/>
      <c r="G29" s="105"/>
      <c r="H29" s="75"/>
      <c r="I29" s="68"/>
      <c r="L29" s="46"/>
    </row>
    <row r="30" spans="1:12" s="47" customFormat="1" x14ac:dyDescent="0.3">
      <c r="A30" s="267"/>
      <c r="B30" s="271"/>
      <c r="C30" s="272"/>
      <c r="D30" s="273"/>
      <c r="E30" s="274"/>
      <c r="F30" s="48"/>
      <c r="G30" s="105"/>
      <c r="H30" s="75"/>
      <c r="I30" s="68"/>
      <c r="L30" s="46"/>
    </row>
    <row r="31" spans="1:12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12" s="2" customFormat="1" x14ac:dyDescent="0.3">
      <c r="A32" s="267"/>
      <c r="B32" s="230"/>
      <c r="C32" s="231"/>
      <c r="D32" s="228"/>
      <c r="E32" s="229"/>
      <c r="F32" s="48"/>
      <c r="G32" s="105"/>
      <c r="H32" s="75"/>
      <c r="I32" s="68"/>
      <c r="L32" s="6"/>
    </row>
    <row r="33" spans="1:12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12" s="2" customFormat="1" ht="26.4" thickTop="1" thickBot="1" x14ac:dyDescent="0.35">
      <c r="A34" s="282" t="s">
        <v>3</v>
      </c>
      <c r="B34" s="283"/>
      <c r="C34" s="284"/>
      <c r="D34" s="285">
        <f>D15+D13-D19</f>
        <v>0</v>
      </c>
      <c r="E34" s="286"/>
      <c r="F34" s="48"/>
      <c r="G34" s="96"/>
      <c r="H34" s="69"/>
      <c r="I34" s="74"/>
      <c r="L34" s="6"/>
    </row>
    <row r="35" spans="1:12" s="49" customFormat="1" ht="36" customHeight="1" thickTop="1" thickBot="1" x14ac:dyDescent="0.35">
      <c r="A35" s="59" t="s">
        <v>6</v>
      </c>
      <c r="B35" s="212"/>
      <c r="C35" s="213"/>
      <c r="D35" s="213"/>
      <c r="E35" s="214"/>
      <c r="G35" s="96"/>
      <c r="H35" s="75"/>
      <c r="I35" s="68"/>
      <c r="L35" s="6"/>
    </row>
    <row r="36" spans="1:12" s="49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6"/>
    </row>
    <row r="37" spans="1:12" s="49" customFormat="1" ht="18.600000000000001" thickTop="1" thickBot="1" x14ac:dyDescent="0.5">
      <c r="A37" s="127">
        <f>'3'!E37</f>
        <v>3748.4799999999814</v>
      </c>
      <c r="B37" s="128"/>
      <c r="C37" s="128">
        <f>D19</f>
        <v>0</v>
      </c>
      <c r="D37" s="128">
        <f>A37+B37+D15-C37</f>
        <v>3748.4799999999814</v>
      </c>
      <c r="E37" s="131">
        <f>D37</f>
        <v>3748.4799999999814</v>
      </c>
      <c r="F37" s="134">
        <f>E37-D37</f>
        <v>0</v>
      </c>
      <c r="G37" s="132"/>
      <c r="H37" s="75"/>
      <c r="I37" s="68"/>
      <c r="L37" s="6"/>
    </row>
    <row r="38" spans="1:12" s="49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G38" s="105"/>
      <c r="H38" s="75"/>
      <c r="I38" s="68"/>
      <c r="L38" s="6"/>
    </row>
    <row r="39" spans="1:12" s="49" customFormat="1" ht="18.600000000000001" thickTop="1" thickBot="1" x14ac:dyDescent="0.35">
      <c r="A39" s="59" t="s">
        <v>73</v>
      </c>
      <c r="B39" s="116">
        <f>'3'!E39</f>
        <v>918220</v>
      </c>
      <c r="C39" s="116"/>
      <c r="D39" s="116"/>
      <c r="E39" s="116">
        <f>B39+C39-D39</f>
        <v>918220</v>
      </c>
      <c r="G39" s="96"/>
      <c r="H39" s="75"/>
      <c r="I39" s="68"/>
      <c r="L39" s="6"/>
    </row>
    <row r="40" spans="1:12" ht="18.600000000000001" thickTop="1" thickBot="1" x14ac:dyDescent="0.35">
      <c r="A40" s="59" t="s">
        <v>111</v>
      </c>
      <c r="B40" s="116">
        <f>'3'!E40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12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12" s="48" customFormat="1" x14ac:dyDescent="0.3">
      <c r="A50" s="52"/>
      <c r="B50" s="57"/>
      <c r="C50" s="205"/>
      <c r="D50" s="206"/>
      <c r="E50" s="55"/>
      <c r="G50" s="105"/>
      <c r="H50" s="75"/>
      <c r="I50" s="68"/>
      <c r="L50" s="50"/>
    </row>
    <row r="51" spans="1:12" s="48" customFormat="1" x14ac:dyDescent="0.3">
      <c r="A51" s="52"/>
      <c r="B51" s="57"/>
      <c r="C51" s="205"/>
      <c r="D51" s="206"/>
      <c r="E51" s="55"/>
      <c r="G51" s="105"/>
      <c r="H51" s="75"/>
      <c r="I51" s="68"/>
      <c r="L51" s="50"/>
    </row>
    <row r="52" spans="1:12" s="48" customFormat="1" x14ac:dyDescent="0.3">
      <c r="A52" s="52"/>
      <c r="B52" s="57"/>
      <c r="C52" s="205"/>
      <c r="D52" s="206"/>
      <c r="E52" s="55"/>
      <c r="G52" s="105"/>
      <c r="H52" s="75"/>
      <c r="I52" s="68"/>
      <c r="L52" s="50"/>
    </row>
    <row r="53" spans="1:12" s="48" customFormat="1" x14ac:dyDescent="0.3">
      <c r="A53" s="52"/>
      <c r="B53" s="57"/>
      <c r="C53" s="205"/>
      <c r="D53" s="206"/>
      <c r="E53" s="55"/>
      <c r="G53" s="105"/>
      <c r="H53" s="75"/>
      <c r="I53" s="68"/>
      <c r="L53" s="50"/>
    </row>
    <row r="54" spans="1:12" s="48" customFormat="1" x14ac:dyDescent="0.3">
      <c r="A54" s="52"/>
      <c r="B54" s="57"/>
      <c r="C54" s="205"/>
      <c r="D54" s="206"/>
      <c r="E54" s="55"/>
      <c r="G54" s="105"/>
      <c r="H54" s="75"/>
      <c r="I54" s="68"/>
      <c r="L54" s="50"/>
    </row>
    <row r="55" spans="1:12" s="48" customFormat="1" x14ac:dyDescent="0.3">
      <c r="A55" s="52"/>
      <c r="B55" s="57"/>
      <c r="C55" s="205"/>
      <c r="D55" s="206"/>
      <c r="E55" s="55"/>
      <c r="G55" s="105"/>
      <c r="H55" s="75"/>
      <c r="I55" s="68"/>
      <c r="L55" s="50"/>
    </row>
    <row r="56" spans="1:12" s="48" customFormat="1" x14ac:dyDescent="0.3">
      <c r="A56" s="52"/>
      <c r="B56" s="57"/>
      <c r="C56" s="205"/>
      <c r="D56" s="206"/>
      <c r="E56" s="55"/>
      <c r="G56" s="105"/>
      <c r="H56" s="75"/>
      <c r="I56" s="68"/>
      <c r="L56" s="50"/>
    </row>
    <row r="57" spans="1:12" s="48" customFormat="1" x14ac:dyDescent="0.3">
      <c r="A57" s="52"/>
      <c r="B57" s="57"/>
      <c r="C57" s="205"/>
      <c r="D57" s="206"/>
      <c r="E57" s="55"/>
      <c r="G57" s="105"/>
      <c r="H57" s="75"/>
      <c r="I57" s="68"/>
      <c r="L57" s="50"/>
    </row>
    <row r="58" spans="1:12" s="48" customFormat="1" x14ac:dyDescent="0.3">
      <c r="A58" s="52"/>
      <c r="B58" s="57"/>
      <c r="C58" s="205"/>
      <c r="D58" s="206"/>
      <c r="E58" s="55"/>
      <c r="G58" s="105"/>
      <c r="H58" s="75"/>
      <c r="I58" s="68"/>
      <c r="L58" s="50"/>
    </row>
    <row r="59" spans="1:12" s="48" customFormat="1" x14ac:dyDescent="0.3">
      <c r="A59" s="52"/>
      <c r="B59" s="57"/>
      <c r="C59" s="205"/>
      <c r="D59" s="206"/>
      <c r="E59" s="55"/>
      <c r="G59" s="105"/>
      <c r="H59" s="75"/>
      <c r="I59" s="68"/>
      <c r="L59" s="50"/>
    </row>
    <row r="60" spans="1:12" s="48" customFormat="1" x14ac:dyDescent="0.3">
      <c r="A60" s="52"/>
      <c r="B60" s="57"/>
      <c r="C60" s="205"/>
      <c r="D60" s="206"/>
      <c r="E60" s="55"/>
      <c r="G60" s="105"/>
      <c r="H60" s="75"/>
      <c r="I60" s="68"/>
      <c r="L60" s="50"/>
    </row>
    <row r="61" spans="1:12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12" s="48" customFormat="1" x14ac:dyDescent="0.3">
      <c r="A62" s="52"/>
      <c r="B62" s="57"/>
      <c r="C62" s="205"/>
      <c r="D62" s="206"/>
      <c r="E62" s="55"/>
      <c r="G62" s="105"/>
      <c r="H62" s="75"/>
      <c r="I62" s="68"/>
      <c r="L62" s="50"/>
    </row>
    <row r="63" spans="1:12" s="48" customFormat="1" x14ac:dyDescent="0.3">
      <c r="A63" s="52"/>
      <c r="B63" s="57"/>
      <c r="C63" s="205"/>
      <c r="D63" s="206"/>
      <c r="E63" s="55"/>
      <c r="G63" s="105"/>
      <c r="H63" s="75"/>
      <c r="I63" s="68"/>
      <c r="L63" s="50"/>
    </row>
    <row r="64" spans="1:12" s="48" customFormat="1" x14ac:dyDescent="0.3">
      <c r="A64" s="52"/>
      <c r="B64" s="57"/>
      <c r="C64" s="205"/>
      <c r="D64" s="206"/>
      <c r="E64" s="55"/>
      <c r="G64" s="105"/>
      <c r="H64" s="75"/>
      <c r="I64" s="68"/>
      <c r="L64" s="50"/>
    </row>
    <row r="65" spans="1:12" s="48" customFormat="1" x14ac:dyDescent="0.3">
      <c r="A65" s="52"/>
      <c r="B65" s="57"/>
      <c r="C65" s="205"/>
      <c r="D65" s="206"/>
      <c r="E65" s="55"/>
      <c r="G65" s="105"/>
      <c r="H65" s="75"/>
      <c r="I65" s="68"/>
      <c r="L65" s="50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113</v>
      </c>
      <c r="B74" s="147"/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102</v>
      </c>
      <c r="B79" s="64"/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customHeight="1" thickTop="1" thickBot="1" x14ac:dyDescent="0.35">
      <c r="A84" s="278"/>
      <c r="B84" s="279"/>
      <c r="C84" s="279"/>
      <c r="D84" s="279"/>
      <c r="E84" s="280"/>
      <c r="F84" s="48"/>
      <c r="G84" s="48"/>
      <c r="H84" s="66" t="s">
        <v>26</v>
      </c>
      <c r="I84" s="67"/>
    </row>
    <row r="85" spans="1:9" ht="15.6" customHeight="1" thickTop="1" thickBot="1" x14ac:dyDescent="0.35">
      <c r="A85" s="278"/>
      <c r="B85" s="279"/>
      <c r="C85" s="279"/>
      <c r="D85" s="279"/>
      <c r="E85" s="280"/>
      <c r="F85" s="48"/>
      <c r="G85" s="48"/>
      <c r="H85" s="48"/>
      <c r="I85" s="50"/>
    </row>
    <row r="86" spans="1:9" ht="15.6" customHeight="1" thickTop="1" thickBot="1" x14ac:dyDescent="0.35">
      <c r="A86" s="278"/>
      <c r="B86" s="279"/>
      <c r="C86" s="279"/>
      <c r="D86" s="279"/>
      <c r="E86" s="280"/>
      <c r="F86" s="48"/>
      <c r="G86" s="48"/>
      <c r="H86" s="48"/>
      <c r="I86" s="50"/>
    </row>
    <row r="87" spans="1:9" ht="15.6" customHeight="1" thickTop="1" thickBot="1" x14ac:dyDescent="0.35">
      <c r="A87" s="278"/>
      <c r="B87" s="279"/>
      <c r="C87" s="279"/>
      <c r="D87" s="279"/>
      <c r="E87" s="280"/>
      <c r="F87" s="48"/>
      <c r="G87" s="48"/>
      <c r="H87" s="48"/>
      <c r="I87" s="50"/>
    </row>
    <row r="88" spans="1:9" ht="15.6" customHeight="1" thickTop="1" thickBot="1" x14ac:dyDescent="0.35">
      <c r="A88" s="278"/>
      <c r="B88" s="279"/>
      <c r="C88" s="279"/>
      <c r="D88" s="279"/>
      <c r="E88" s="280"/>
      <c r="F88" s="48"/>
      <c r="G88" s="48"/>
      <c r="H88" s="48"/>
      <c r="I88" s="50"/>
    </row>
    <row r="89" spans="1:9" ht="15.6" customHeight="1" thickTop="1" thickBot="1" x14ac:dyDescent="0.35">
      <c r="A89" s="278"/>
      <c r="B89" s="279"/>
      <c r="C89" s="279"/>
      <c r="D89" s="279"/>
      <c r="E89" s="280"/>
      <c r="F89" s="48"/>
      <c r="G89" s="48"/>
      <c r="H89" s="48"/>
      <c r="I89" s="50"/>
    </row>
    <row r="90" spans="1:9" ht="15.6" customHeight="1" thickTop="1" thickBot="1" x14ac:dyDescent="0.35">
      <c r="A90" s="278"/>
      <c r="B90" s="279"/>
      <c r="C90" s="279"/>
      <c r="D90" s="279"/>
      <c r="E90" s="280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ht="25.8" x14ac:dyDescent="0.5">
      <c r="A93" s="164" t="s">
        <v>14</v>
      </c>
      <c r="B93" s="165" t="s">
        <v>103</v>
      </c>
      <c r="C93" s="48"/>
      <c r="D93" s="50"/>
      <c r="E93" s="50"/>
      <c r="F93" s="48"/>
      <c r="G93" s="48"/>
      <c r="H93" s="48"/>
      <c r="I93" s="50"/>
    </row>
    <row r="94" spans="1:9" x14ac:dyDescent="0.3">
      <c r="A94" s="48"/>
      <c r="B94" s="48"/>
      <c r="C94" s="48"/>
      <c r="D94" s="50"/>
      <c r="E94" s="50"/>
      <c r="F94" s="48"/>
      <c r="G94" s="48"/>
      <c r="H94" s="48"/>
      <c r="I94" s="50"/>
    </row>
    <row r="95" spans="1:9" x14ac:dyDescent="0.3">
      <c r="A95" s="48"/>
      <c r="B95" s="48"/>
      <c r="C95" s="48"/>
      <c r="D95" s="50"/>
      <c r="E95" s="50"/>
      <c r="F95" s="48"/>
      <c r="G95" s="48"/>
      <c r="H95" s="48"/>
      <c r="I95" s="50"/>
    </row>
  </sheetData>
  <mergeCells count="96">
    <mergeCell ref="B30:C30"/>
    <mergeCell ref="C47:D47"/>
    <mergeCell ref="C48:D48"/>
    <mergeCell ref="A15:C15"/>
    <mergeCell ref="D15:E15"/>
    <mergeCell ref="D32:E32"/>
    <mergeCell ref="B32:C32"/>
    <mergeCell ref="D33:E33"/>
    <mergeCell ref="C43:D43"/>
    <mergeCell ref="C44:D44"/>
    <mergeCell ref="B23:C23"/>
    <mergeCell ref="D23:E23"/>
    <mergeCell ref="B24:C24"/>
    <mergeCell ref="D24:E24"/>
    <mergeCell ref="B25:C25"/>
    <mergeCell ref="C46:D46"/>
    <mergeCell ref="C49:D49"/>
    <mergeCell ref="C61:D61"/>
    <mergeCell ref="A16:C16"/>
    <mergeCell ref="D16:E16"/>
    <mergeCell ref="B22:C22"/>
    <mergeCell ref="D22:E22"/>
    <mergeCell ref="B31:C31"/>
    <mergeCell ref="D31:E31"/>
    <mergeCell ref="C42:D42"/>
    <mergeCell ref="A34:C34"/>
    <mergeCell ref="D34:E34"/>
    <mergeCell ref="B35:E35"/>
    <mergeCell ref="A41:D41"/>
    <mergeCell ref="C45:D45"/>
    <mergeCell ref="B29:C29"/>
    <mergeCell ref="D25:E25"/>
    <mergeCell ref="D21:E21"/>
    <mergeCell ref="B1:E1"/>
    <mergeCell ref="C2:D2"/>
    <mergeCell ref="D4:E4"/>
    <mergeCell ref="A7:B7"/>
    <mergeCell ref="D7:E7"/>
    <mergeCell ref="A3:B3"/>
    <mergeCell ref="A4:B4"/>
    <mergeCell ref="A5:B5"/>
    <mergeCell ref="D5:E5"/>
    <mergeCell ref="A6:B6"/>
    <mergeCell ref="D6:E6"/>
    <mergeCell ref="D8:E8"/>
    <mergeCell ref="D11:E11"/>
    <mergeCell ref="A14:C14"/>
    <mergeCell ref="D14:E14"/>
    <mergeCell ref="A8:B8"/>
    <mergeCell ref="A11:B11"/>
    <mergeCell ref="D12:E12"/>
    <mergeCell ref="A13:C13"/>
    <mergeCell ref="D13:E13"/>
    <mergeCell ref="A9:B9"/>
    <mergeCell ref="D9:E9"/>
    <mergeCell ref="A12:B12"/>
    <mergeCell ref="D17:E17"/>
    <mergeCell ref="A18:E18"/>
    <mergeCell ref="A19:C19"/>
    <mergeCell ref="A20:A33"/>
    <mergeCell ref="B33:C33"/>
    <mergeCell ref="D29:E29"/>
    <mergeCell ref="D30:E30"/>
    <mergeCell ref="D26:E26"/>
    <mergeCell ref="B27:C27"/>
    <mergeCell ref="D27:E27"/>
    <mergeCell ref="B28:C28"/>
    <mergeCell ref="D28:E28"/>
    <mergeCell ref="D19:E19"/>
    <mergeCell ref="B20:C20"/>
    <mergeCell ref="D20:E20"/>
    <mergeCell ref="B21:C21"/>
    <mergeCell ref="A84:E90"/>
    <mergeCell ref="C60:D60"/>
    <mergeCell ref="C62:D62"/>
    <mergeCell ref="C63:D63"/>
    <mergeCell ref="C64:D64"/>
    <mergeCell ref="C65:D65"/>
    <mergeCell ref="C66:D66"/>
    <mergeCell ref="C67:D67"/>
    <mergeCell ref="B26:C26"/>
    <mergeCell ref="A10:B10"/>
    <mergeCell ref="D10:E10"/>
    <mergeCell ref="C68:D68"/>
    <mergeCell ref="A83:E83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A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3"/>
  <sheetViews>
    <sheetView tabSelected="1"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B75" sqref="B75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7" max="7" width="30.664062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'4'!A1+1</f>
        <v>46178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19" t="s">
        <v>17</v>
      </c>
      <c r="D2" s="220"/>
      <c r="E2" s="62">
        <f>D4+D5+D6+D7+D8+D9+D10+D11+D12</f>
        <v>268265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>
        <v>45</v>
      </c>
      <c r="D3" s="72" t="s">
        <v>45</v>
      </c>
      <c r="E3" s="72">
        <f>E2/C3</f>
        <v>5961.4444444444443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>
        <v>2</v>
      </c>
      <c r="D9" s="222">
        <v>13000</v>
      </c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>
        <v>5</v>
      </c>
      <c r="D11" s="222">
        <v>29200</v>
      </c>
      <c r="E11" s="223"/>
      <c r="F11" s="48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38</v>
      </c>
      <c r="D12" s="222">
        <f>SUM(D13:E16)</f>
        <v>226065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22"/>
      <c r="E15" s="223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22">
        <v>226065</v>
      </c>
      <c r="E16" s="223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39930</v>
      </c>
      <c r="E19" s="240"/>
      <c r="F19" s="48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s="47" customFormat="1" ht="15" customHeight="1" thickTop="1" x14ac:dyDescent="0.3">
      <c r="A21" s="267"/>
      <c r="B21" s="297" t="s">
        <v>147</v>
      </c>
      <c r="C21" s="298"/>
      <c r="D21" s="299">
        <v>12250</v>
      </c>
      <c r="E21" s="300"/>
      <c r="F21" s="48"/>
      <c r="G21" s="118"/>
      <c r="H21" s="52"/>
      <c r="I21" s="73"/>
      <c r="L21" s="46"/>
    </row>
    <row r="22" spans="1:12" s="47" customFormat="1" ht="14.4" customHeight="1" x14ac:dyDescent="0.3">
      <c r="A22" s="267"/>
      <c r="B22" s="295" t="s">
        <v>148</v>
      </c>
      <c r="C22" s="296"/>
      <c r="D22" s="289">
        <v>6500</v>
      </c>
      <c r="E22" s="290"/>
      <c r="F22" s="48"/>
      <c r="G22" s="118"/>
      <c r="H22" s="52"/>
      <c r="I22" s="73"/>
      <c r="L22" s="46"/>
    </row>
    <row r="23" spans="1:12" s="47" customFormat="1" x14ac:dyDescent="0.3">
      <c r="A23" s="267"/>
      <c r="B23" s="295" t="s">
        <v>149</v>
      </c>
      <c r="C23" s="296"/>
      <c r="D23" s="289">
        <v>2000</v>
      </c>
      <c r="E23" s="290"/>
      <c r="F23" s="48"/>
      <c r="G23" s="118"/>
      <c r="H23" s="52"/>
      <c r="I23" s="73"/>
      <c r="L23" s="46"/>
    </row>
    <row r="24" spans="1:12" s="47" customFormat="1" ht="14.4" customHeight="1" x14ac:dyDescent="0.3">
      <c r="A24" s="267"/>
      <c r="B24" s="295" t="s">
        <v>150</v>
      </c>
      <c r="C24" s="296"/>
      <c r="D24" s="289">
        <v>960</v>
      </c>
      <c r="E24" s="290"/>
      <c r="F24" s="48"/>
      <c r="G24" s="118"/>
      <c r="H24" s="52"/>
      <c r="I24" s="73"/>
      <c r="L24" s="46"/>
    </row>
    <row r="25" spans="1:12" s="47" customFormat="1" ht="14.4" customHeight="1" x14ac:dyDescent="0.3">
      <c r="A25" s="267"/>
      <c r="B25" s="295" t="s">
        <v>151</v>
      </c>
      <c r="C25" s="296"/>
      <c r="D25" s="289">
        <v>1010</v>
      </c>
      <c r="E25" s="290"/>
      <c r="F25" s="48"/>
      <c r="G25" s="118"/>
      <c r="H25" s="52"/>
      <c r="I25" s="73"/>
      <c r="L25" s="46"/>
    </row>
    <row r="26" spans="1:12" x14ac:dyDescent="0.3">
      <c r="A26" s="267"/>
      <c r="B26" s="301" t="s">
        <v>152</v>
      </c>
      <c r="C26" s="302"/>
      <c r="D26" s="293">
        <v>1000</v>
      </c>
      <c r="E26" s="294"/>
      <c r="F26" s="48"/>
      <c r="G26" s="118"/>
      <c r="H26" s="52"/>
      <c r="I26" s="73"/>
    </row>
    <row r="27" spans="1:12" ht="14.4" customHeight="1" x14ac:dyDescent="0.3">
      <c r="A27" s="267"/>
      <c r="B27" s="291" t="s">
        <v>153</v>
      </c>
      <c r="C27" s="292"/>
      <c r="D27" s="293">
        <v>1000</v>
      </c>
      <c r="E27" s="294"/>
      <c r="F27" s="48"/>
      <c r="G27" s="105"/>
      <c r="H27" s="75"/>
      <c r="I27" s="68"/>
    </row>
    <row r="28" spans="1:12" ht="14.4" customHeight="1" x14ac:dyDescent="0.3">
      <c r="A28" s="267"/>
      <c r="B28" s="295" t="s">
        <v>154</v>
      </c>
      <c r="C28" s="296"/>
      <c r="D28" s="289">
        <v>615</v>
      </c>
      <c r="E28" s="290"/>
      <c r="F28" s="48"/>
      <c r="G28" s="105"/>
      <c r="H28" s="75"/>
      <c r="I28" s="68"/>
    </row>
    <row r="29" spans="1:12" ht="14.4" customHeight="1" x14ac:dyDescent="0.3">
      <c r="A29" s="267"/>
      <c r="B29" s="291" t="s">
        <v>155</v>
      </c>
      <c r="C29" s="292"/>
      <c r="D29" s="293">
        <v>195</v>
      </c>
      <c r="E29" s="294"/>
      <c r="F29" s="48"/>
      <c r="G29" s="105"/>
      <c r="H29" s="75"/>
      <c r="I29" s="68"/>
    </row>
    <row r="30" spans="1:12" ht="14.4" customHeight="1" x14ac:dyDescent="0.3">
      <c r="A30" s="267"/>
      <c r="B30" s="291" t="s">
        <v>156</v>
      </c>
      <c r="C30" s="292"/>
      <c r="D30" s="293">
        <v>14400</v>
      </c>
      <c r="E30" s="294"/>
      <c r="F30" s="48"/>
      <c r="G30" s="105"/>
      <c r="H30" s="75"/>
      <c r="I30" s="68"/>
    </row>
    <row r="31" spans="1:12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70.2" customHeight="1" thickTop="1" thickBot="1" x14ac:dyDescent="0.65">
      <c r="A34" s="207" t="s">
        <v>90</v>
      </c>
      <c r="B34" s="208"/>
      <c r="C34" s="209"/>
      <c r="D34" s="210">
        <f>D15+D13-D19</f>
        <v>-39930</v>
      </c>
      <c r="E34" s="211"/>
      <c r="F34" s="48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'4'!E37</f>
        <v>3748.4799999999814</v>
      </c>
      <c r="B37" s="128">
        <v>40000</v>
      </c>
      <c r="C37" s="128">
        <f>D19</f>
        <v>39930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'4'!E39</f>
        <v>918220</v>
      </c>
      <c r="C39" s="116">
        <v>9900</v>
      </c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'4'!E40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>
        <v>180000</v>
      </c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157</v>
      </c>
      <c r="B74" s="147">
        <f>36*1320</f>
        <v>47520</v>
      </c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4646.1847039999993</v>
      </c>
      <c r="C75" s="48"/>
      <c r="D75" s="50"/>
      <c r="E75" s="50"/>
      <c r="F75" s="48"/>
      <c r="G75" s="105"/>
      <c r="H75" s="75"/>
      <c r="I75" s="6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ht="28.8" x14ac:dyDescent="0.3">
      <c r="A77" s="63" t="s">
        <v>29</v>
      </c>
      <c r="B77" s="64">
        <v>29631.279999999999</v>
      </c>
      <c r="C77" s="48"/>
      <c r="D77" s="50"/>
      <c r="E77" s="50"/>
      <c r="F77" s="48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D19-14400</f>
        <v>25530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115</v>
      </c>
      <c r="B79" s="64">
        <v>9900</v>
      </c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297227.46470400004</v>
      </c>
      <c r="C81" s="50">
        <f>E2-B81</f>
        <v>-28962.464704000042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customHeight="1" thickTop="1" thickBot="1" x14ac:dyDescent="0.35">
      <c r="A84" s="196" t="s">
        <v>158</v>
      </c>
      <c r="B84" s="197"/>
      <c r="C84" s="197"/>
      <c r="D84" s="197"/>
      <c r="E84" s="198"/>
      <c r="F84" s="48"/>
      <c r="G84" s="48"/>
      <c r="H84" s="66" t="s">
        <v>26</v>
      </c>
      <c r="I84" s="67"/>
    </row>
    <row r="85" spans="1:9" ht="15" customHeight="1" thickTop="1" x14ac:dyDescent="0.3">
      <c r="A85" s="199"/>
      <c r="B85" s="200"/>
      <c r="C85" s="200"/>
      <c r="D85" s="200"/>
      <c r="E85" s="201"/>
      <c r="F85" s="48"/>
      <c r="G85" s="48"/>
      <c r="H85" s="48"/>
      <c r="I85" s="50"/>
    </row>
    <row r="86" spans="1:9" ht="14.4" customHeight="1" x14ac:dyDescent="0.3">
      <c r="A86" s="199"/>
      <c r="B86" s="200"/>
      <c r="C86" s="200"/>
      <c r="D86" s="200"/>
      <c r="E86" s="201"/>
      <c r="F86" s="48"/>
      <c r="G86" s="48"/>
      <c r="H86" s="48"/>
      <c r="I86" s="50"/>
    </row>
    <row r="87" spans="1:9" ht="14.4" customHeight="1" x14ac:dyDescent="0.3">
      <c r="A87" s="199"/>
      <c r="B87" s="200"/>
      <c r="C87" s="200"/>
      <c r="D87" s="200"/>
      <c r="E87" s="201"/>
      <c r="F87" s="48"/>
      <c r="G87" s="48"/>
      <c r="H87" s="48"/>
      <c r="I87" s="50"/>
    </row>
    <row r="88" spans="1:9" ht="14.4" customHeight="1" x14ac:dyDescent="0.3">
      <c r="A88" s="199"/>
      <c r="B88" s="200"/>
      <c r="C88" s="200"/>
      <c r="D88" s="200"/>
      <c r="E88" s="201"/>
      <c r="F88" s="48"/>
      <c r="G88" s="48"/>
      <c r="H88" s="48"/>
      <c r="I88" s="50"/>
    </row>
    <row r="89" spans="1:9" ht="14.4" customHeight="1" x14ac:dyDescent="0.3">
      <c r="A89" s="199"/>
      <c r="B89" s="200"/>
      <c r="C89" s="200"/>
      <c r="D89" s="200"/>
      <c r="E89" s="201"/>
      <c r="F89" s="48"/>
      <c r="G89" s="48"/>
      <c r="H89" s="48"/>
      <c r="I89" s="50"/>
    </row>
    <row r="90" spans="1:9" ht="15" customHeight="1" thickBot="1" x14ac:dyDescent="0.35">
      <c r="A90" s="202"/>
      <c r="B90" s="203"/>
      <c r="C90" s="203"/>
      <c r="D90" s="203"/>
      <c r="E90" s="204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ht="25.8" x14ac:dyDescent="0.5">
      <c r="A93" s="164" t="s">
        <v>14</v>
      </c>
      <c r="B93" s="165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D13:E13"/>
    <mergeCell ref="A12:B12"/>
    <mergeCell ref="C59:D59"/>
    <mergeCell ref="C48:D48"/>
    <mergeCell ref="C55:D55"/>
    <mergeCell ref="C56:D56"/>
    <mergeCell ref="C57:D57"/>
    <mergeCell ref="C49:D49"/>
    <mergeCell ref="C50:D50"/>
    <mergeCell ref="C51:D51"/>
    <mergeCell ref="C52:D52"/>
    <mergeCell ref="B21:C21"/>
    <mergeCell ref="D21:E21"/>
    <mergeCell ref="B22:C22"/>
    <mergeCell ref="D22:E22"/>
    <mergeCell ref="D26:E26"/>
    <mergeCell ref="B23:C23"/>
    <mergeCell ref="D23:E23"/>
    <mergeCell ref="B24:C24"/>
    <mergeCell ref="D24:E24"/>
    <mergeCell ref="B25:C25"/>
    <mergeCell ref="D25:E25"/>
    <mergeCell ref="B26:C26"/>
    <mergeCell ref="B27:C27"/>
    <mergeCell ref="D27:E27"/>
    <mergeCell ref="B28:C28"/>
    <mergeCell ref="C58:D58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C53:D53"/>
    <mergeCell ref="C54:D54"/>
    <mergeCell ref="A41:D4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8:E28"/>
    <mergeCell ref="B29:C29"/>
    <mergeCell ref="D29:E29"/>
    <mergeCell ref="B30:C30"/>
    <mergeCell ref="D30:E30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3"/>
  <sheetViews>
    <sheetView workbookViewId="0">
      <pane xSplit="2" ySplit="2" topLeftCell="C3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A37" sqref="A37"/>
    </sheetView>
  </sheetViews>
  <sheetFormatPr defaultColWidth="8.77734375" defaultRowHeight="14.4" x14ac:dyDescent="0.3"/>
  <cols>
    <col min="1" max="1" width="38.6640625" bestFit="1" customWidth="1"/>
    <col min="2" max="2" width="15.44140625" customWidth="1"/>
    <col min="3" max="3" width="13.109375" bestFit="1" customWidth="1"/>
    <col min="4" max="4" width="16.5546875" style="3" customWidth="1"/>
    <col min="5" max="5" width="16.44140625" style="3" bestFit="1" customWidth="1"/>
    <col min="7" max="7" width="31.109375" customWidth="1"/>
    <col min="8" max="8" width="36.44140625" customWidth="1"/>
    <col min="9" max="9" width="16.44140625" style="3" customWidth="1"/>
    <col min="11" max="11" width="28.6640625" customWidth="1"/>
    <col min="12" max="12" width="11" style="3" hidden="1" customWidth="1"/>
  </cols>
  <sheetData>
    <row r="1" spans="1:12" ht="18" thickBot="1" x14ac:dyDescent="0.5">
      <c r="A1" s="7">
        <f>'5'!A1+1</f>
        <v>46179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K5" s="48">
        <f>144720*1.18</f>
        <v>170769.59999999998</v>
      </c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K7" s="50">
        <f>K5-D7</f>
        <v>170769.59999999998</v>
      </c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L21" s="46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L22" s="46"/>
    </row>
    <row r="23" spans="1:12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L23" s="46"/>
    </row>
    <row r="24" spans="1:12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46"/>
    </row>
    <row r="25" spans="1:12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x14ac:dyDescent="0.3">
      <c r="A26" s="267"/>
      <c r="B26" s="287"/>
      <c r="C26" s="288"/>
      <c r="D26" s="273"/>
      <c r="E26" s="274"/>
      <c r="F26" s="48"/>
      <c r="G26" s="118"/>
      <c r="H26" s="52"/>
      <c r="I26" s="73"/>
    </row>
    <row r="27" spans="1:12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12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12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12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12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58.8" customHeight="1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K34">
        <f>93750+20000+10970+20000</f>
        <v>144720</v>
      </c>
    </row>
    <row r="35" spans="1:12" s="48" customFormat="1" ht="66.599999999999994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'5'!E37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'5'!E39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'5'!E40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K40" s="2">
        <f>K34*0.18</f>
        <v>26049.599999999999</v>
      </c>
      <c r="L40" s="6"/>
    </row>
    <row r="41" spans="1:12" ht="30" customHeight="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K41">
        <f>SUM(K34:K40)</f>
        <v>170769.6</v>
      </c>
    </row>
    <row r="42" spans="1:12" ht="30" customHeight="1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114</v>
      </c>
      <c r="B74" s="147"/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12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12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102</v>
      </c>
      <c r="B79" s="64"/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customHeight="1" thickTop="1" thickBot="1" x14ac:dyDescent="0.35">
      <c r="A84" s="278"/>
      <c r="B84" s="279"/>
      <c r="C84" s="279"/>
      <c r="D84" s="279"/>
      <c r="E84" s="280"/>
      <c r="F84" s="48"/>
      <c r="G84" s="48"/>
      <c r="H84" s="66" t="s">
        <v>26</v>
      </c>
      <c r="I84" s="67"/>
    </row>
    <row r="85" spans="1:9" ht="15.6" customHeight="1" thickTop="1" thickBot="1" x14ac:dyDescent="0.35">
      <c r="A85" s="278"/>
      <c r="B85" s="279"/>
      <c r="C85" s="279"/>
      <c r="D85" s="279"/>
      <c r="E85" s="280"/>
      <c r="F85" s="48"/>
      <c r="G85" s="48"/>
      <c r="H85" s="48"/>
      <c r="I85" s="50"/>
    </row>
    <row r="86" spans="1:9" ht="15.6" customHeight="1" thickTop="1" thickBot="1" x14ac:dyDescent="0.35">
      <c r="A86" s="278"/>
      <c r="B86" s="279"/>
      <c r="C86" s="279"/>
      <c r="D86" s="279"/>
      <c r="E86" s="280"/>
      <c r="F86" s="48"/>
      <c r="G86" s="48"/>
      <c r="H86" s="48"/>
      <c r="I86" s="50"/>
    </row>
    <row r="87" spans="1:9" ht="15.6" customHeight="1" thickTop="1" thickBot="1" x14ac:dyDescent="0.35">
      <c r="A87" s="278"/>
      <c r="B87" s="279"/>
      <c r="C87" s="279"/>
      <c r="D87" s="279"/>
      <c r="E87" s="280"/>
      <c r="F87" s="48"/>
      <c r="G87" s="48"/>
      <c r="H87" s="48"/>
      <c r="I87" s="50"/>
    </row>
    <row r="88" spans="1:9" ht="15.6" customHeight="1" thickTop="1" thickBot="1" x14ac:dyDescent="0.35">
      <c r="A88" s="278"/>
      <c r="B88" s="279"/>
      <c r="C88" s="279"/>
      <c r="D88" s="279"/>
      <c r="E88" s="280"/>
      <c r="F88" s="48"/>
      <c r="G88" s="48"/>
      <c r="H88" s="48"/>
      <c r="I88" s="50"/>
    </row>
    <row r="89" spans="1:9" ht="15.6" customHeight="1" thickTop="1" thickBot="1" x14ac:dyDescent="0.35">
      <c r="A89" s="278"/>
      <c r="B89" s="279"/>
      <c r="C89" s="279"/>
      <c r="D89" s="279"/>
      <c r="E89" s="280"/>
      <c r="F89" s="48"/>
      <c r="G89" s="48"/>
      <c r="H89" s="48"/>
      <c r="I89" s="50"/>
    </row>
    <row r="90" spans="1:9" ht="15.6" customHeight="1" thickTop="1" thickBot="1" x14ac:dyDescent="0.35">
      <c r="A90" s="278"/>
      <c r="B90" s="279"/>
      <c r="C90" s="279"/>
      <c r="D90" s="279"/>
      <c r="E90" s="280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ht="25.8" x14ac:dyDescent="0.5">
      <c r="A93" s="164" t="s">
        <v>14</v>
      </c>
      <c r="B93" s="165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A11:B11"/>
    <mergeCell ref="A16:C16"/>
    <mergeCell ref="D16:E16"/>
    <mergeCell ref="D15:E15"/>
    <mergeCell ref="D11:E11"/>
    <mergeCell ref="A12:B12"/>
    <mergeCell ref="A14:C14"/>
    <mergeCell ref="D14:E14"/>
    <mergeCell ref="A15:C15"/>
    <mergeCell ref="A13:C13"/>
    <mergeCell ref="D13:E13"/>
    <mergeCell ref="D12:E12"/>
    <mergeCell ref="B22:C22"/>
    <mergeCell ref="B23:C23"/>
    <mergeCell ref="D23:E23"/>
    <mergeCell ref="D22:E22"/>
    <mergeCell ref="B21:C21"/>
    <mergeCell ref="C52:D52"/>
    <mergeCell ref="B24:C24"/>
    <mergeCell ref="D24:E24"/>
    <mergeCell ref="B25:C25"/>
    <mergeCell ref="D25:E25"/>
    <mergeCell ref="B28:C28"/>
    <mergeCell ref="B26:C26"/>
    <mergeCell ref="C58:D58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C53:D53"/>
    <mergeCell ref="C54:D54"/>
    <mergeCell ref="C55:D55"/>
    <mergeCell ref="C49:D49"/>
    <mergeCell ref="C50:D50"/>
    <mergeCell ref="C51:D5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A19:C19"/>
    <mergeCell ref="A20:A33"/>
    <mergeCell ref="B33:C33"/>
    <mergeCell ref="B32:C32"/>
    <mergeCell ref="D28:E28"/>
    <mergeCell ref="B29:C29"/>
    <mergeCell ref="D29:E29"/>
    <mergeCell ref="B30:C30"/>
    <mergeCell ref="D30:E30"/>
    <mergeCell ref="D19:E19"/>
    <mergeCell ref="B20:C20"/>
    <mergeCell ref="D20:E20"/>
    <mergeCell ref="D26:E26"/>
    <mergeCell ref="B27:C27"/>
    <mergeCell ref="D27:E27"/>
    <mergeCell ref="D21:E21"/>
    <mergeCell ref="A10:B10"/>
    <mergeCell ref="D10:E10"/>
    <mergeCell ref="A83:E83"/>
    <mergeCell ref="A84:E90"/>
    <mergeCell ref="A34:C34"/>
    <mergeCell ref="D34:E34"/>
    <mergeCell ref="B35:E35"/>
    <mergeCell ref="A41:D41"/>
    <mergeCell ref="C68:D68"/>
    <mergeCell ref="C56:D56"/>
    <mergeCell ref="C57:D57"/>
    <mergeCell ref="C59:D59"/>
    <mergeCell ref="C48:D48"/>
    <mergeCell ref="A17:C17"/>
    <mergeCell ref="D17:E17"/>
    <mergeCell ref="A18:E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3"/>
  <sheetViews>
    <sheetView workbookViewId="0">
      <pane xSplit="2" ySplit="2" topLeftCell="C78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1.6640625" bestFit="1" customWidth="1"/>
    <col min="7" max="7" width="28.218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'6'!A1+1</f>
        <v>46180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12" ht="15" customHeight="1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12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12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12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12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s="47" customFormat="1" x14ac:dyDescent="0.3">
      <c r="A26" s="267"/>
      <c r="B26" s="287"/>
      <c r="C26" s="288"/>
      <c r="D26" s="273"/>
      <c r="E26" s="274"/>
      <c r="F26" s="48"/>
      <c r="G26" s="118"/>
      <c r="H26" s="52"/>
      <c r="I26" s="73"/>
      <c r="L26" s="46"/>
    </row>
    <row r="27" spans="1:12" s="47" customFormat="1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L27" s="46"/>
    </row>
    <row r="28" spans="1:12" s="47" customFormat="1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L28" s="46"/>
    </row>
    <row r="29" spans="1:12" s="47" customFormat="1" ht="14.4" customHeight="1" x14ac:dyDescent="0.3">
      <c r="A29" s="267"/>
      <c r="B29" s="271"/>
      <c r="C29" s="272"/>
      <c r="D29" s="273"/>
      <c r="E29" s="274"/>
      <c r="F29" s="48"/>
      <c r="G29" s="105"/>
      <c r="H29" s="75"/>
      <c r="I29" s="68"/>
      <c r="L29" s="46"/>
    </row>
    <row r="30" spans="1:12" ht="14.4" customHeight="1" x14ac:dyDescent="0.3">
      <c r="A30" s="267"/>
      <c r="B30" s="271"/>
      <c r="C30" s="272"/>
      <c r="D30" s="273"/>
      <c r="E30" s="274"/>
      <c r="F30" s="48"/>
      <c r="G30" s="105"/>
      <c r="H30" s="75"/>
      <c r="I30" s="68"/>
    </row>
    <row r="31" spans="1:12" ht="34.799999999999997" customHeight="1" x14ac:dyDescent="0.3">
      <c r="A31" s="267"/>
      <c r="B31" s="271"/>
      <c r="C31" s="272"/>
      <c r="D31" s="273"/>
      <c r="E31" s="274"/>
      <c r="F31" s="48"/>
      <c r="G31" s="105"/>
      <c r="H31" s="75"/>
      <c r="I31" s="68"/>
    </row>
    <row r="32" spans="1:12" ht="14.4" customHeight="1" x14ac:dyDescent="0.3">
      <c r="A32" s="267"/>
      <c r="B32" s="271"/>
      <c r="C32" s="272"/>
      <c r="D32" s="273"/>
      <c r="E32" s="274"/>
      <c r="F32" s="48"/>
      <c r="G32" s="105"/>
      <c r="H32" s="75"/>
      <c r="I32" s="68"/>
    </row>
    <row r="33" spans="1:12" s="2" customFormat="1" ht="15" customHeight="1" thickBot="1" x14ac:dyDescent="0.35">
      <c r="A33" s="268"/>
      <c r="B33" s="306"/>
      <c r="C33" s="307"/>
      <c r="D33" s="308"/>
      <c r="E33" s="309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12" s="48" customFormat="1" ht="36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/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'6'!E37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'6'!E39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'6'!E40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43.8" thickTop="1" x14ac:dyDescent="0.3">
      <c r="A74" s="87" t="s">
        <v>116</v>
      </c>
      <c r="B74" s="147"/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115</v>
      </c>
      <c r="B79" s="64"/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customHeight="1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C59:D59"/>
    <mergeCell ref="C48:D48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A12:B12"/>
    <mergeCell ref="D13:E13"/>
    <mergeCell ref="B25:C25"/>
    <mergeCell ref="D25:E25"/>
    <mergeCell ref="D26:E26"/>
    <mergeCell ref="B27:C27"/>
    <mergeCell ref="D27:E27"/>
    <mergeCell ref="B26:C26"/>
    <mergeCell ref="C50:D50"/>
    <mergeCell ref="C51:D51"/>
    <mergeCell ref="C52:D52"/>
    <mergeCell ref="B28:C28"/>
    <mergeCell ref="D28:E28"/>
    <mergeCell ref="B29:C29"/>
    <mergeCell ref="D29:E29"/>
    <mergeCell ref="A41:D41"/>
    <mergeCell ref="C58:D58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C53:D53"/>
    <mergeCell ref="C54:D54"/>
    <mergeCell ref="C55:D55"/>
    <mergeCell ref="C56:D56"/>
    <mergeCell ref="C57:D57"/>
    <mergeCell ref="C49:D49"/>
    <mergeCell ref="B21:C21"/>
    <mergeCell ref="D21:E21"/>
    <mergeCell ref="B22:C22"/>
    <mergeCell ref="D22:E22"/>
    <mergeCell ref="B23:C23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3:E23"/>
    <mergeCell ref="B24:C24"/>
    <mergeCell ref="D24:E24"/>
    <mergeCell ref="B30:C30"/>
    <mergeCell ref="D30:E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3"/>
  <sheetViews>
    <sheetView workbookViewId="0">
      <pane xSplit="2" ySplit="2" topLeftCell="C81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3.109375" bestFit="1" customWidth="1"/>
    <col min="7" max="7" width="29.777343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'7'!A1+1</f>
        <v>46181</v>
      </c>
      <c r="B1" s="221" t="str">
        <f>'[3]1'!B1:E1</f>
        <v>DADA SALON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</row>
    <row r="21" spans="1:12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</row>
    <row r="22" spans="1:12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</row>
    <row r="23" spans="1:12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</row>
    <row r="24" spans="1:12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</row>
    <row r="25" spans="1:12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</row>
    <row r="26" spans="1:12" ht="14.4" customHeight="1" x14ac:dyDescent="0.3">
      <c r="A26" s="267"/>
      <c r="B26" s="275"/>
      <c r="C26" s="276"/>
      <c r="D26" s="273"/>
      <c r="E26" s="274"/>
      <c r="F26" s="48"/>
      <c r="G26" s="118"/>
      <c r="H26" s="52"/>
      <c r="I26" s="73"/>
      <c r="J26" s="48"/>
    </row>
    <row r="27" spans="1:12" s="47" customFormat="1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  <c r="L27" s="46"/>
    </row>
    <row r="28" spans="1:12" s="47" customForma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  <c r="L28" s="46"/>
    </row>
    <row r="29" spans="1:12" s="47" customFormat="1" ht="14.4" customHeight="1" x14ac:dyDescent="0.3">
      <c r="A29" s="267"/>
      <c r="B29" s="271"/>
      <c r="C29" s="272"/>
      <c r="D29" s="273"/>
      <c r="E29" s="274"/>
      <c r="F29" s="48"/>
      <c r="G29" s="105"/>
      <c r="H29" s="75"/>
      <c r="I29" s="68"/>
      <c r="J29" s="48"/>
      <c r="L29" s="46"/>
    </row>
    <row r="30" spans="1:12" s="47" customFormat="1" ht="14.4" customHeight="1" x14ac:dyDescent="0.3">
      <c r="A30" s="267"/>
      <c r="B30" s="230"/>
      <c r="C30" s="231"/>
      <c r="D30" s="228"/>
      <c r="E30" s="229"/>
      <c r="F30" s="48"/>
      <c r="G30" s="105"/>
      <c r="H30" s="75"/>
      <c r="I30" s="68"/>
      <c r="J30" s="48"/>
      <c r="L30" s="46"/>
    </row>
    <row r="31" spans="1:12" s="47" customFormat="1" ht="14.4" customHeight="1" x14ac:dyDescent="0.3">
      <c r="A31" s="267"/>
      <c r="B31" s="230"/>
      <c r="C31" s="231"/>
      <c r="D31" s="228"/>
      <c r="E31" s="229"/>
      <c r="F31" s="48"/>
      <c r="G31" s="105"/>
      <c r="H31" s="75"/>
      <c r="I31" s="68"/>
      <c r="J31" s="48"/>
      <c r="L31" s="46"/>
    </row>
    <row r="32" spans="1:12" ht="15" customHeight="1" x14ac:dyDescent="0.3">
      <c r="A32" s="267"/>
      <c r="B32" s="230"/>
      <c r="C32" s="231"/>
      <c r="D32" s="228"/>
      <c r="E32" s="229"/>
      <c r="F32" s="48"/>
      <c r="G32" s="105"/>
      <c r="H32" s="75"/>
      <c r="I32" s="68"/>
      <c r="J32" s="4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9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'7'!E37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'7'!E39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'7'!E40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9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</row>
    <row r="49" spans="1:10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</row>
    <row r="50" spans="1:10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</row>
    <row r="51" spans="1:10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</row>
    <row r="52" spans="1:10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</row>
    <row r="53" spans="1:10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</row>
    <row r="54" spans="1:10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</row>
    <row r="55" spans="1:10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</row>
    <row r="56" spans="1:10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</row>
    <row r="57" spans="1:10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</row>
    <row r="58" spans="1:10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</row>
    <row r="59" spans="1:10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</row>
    <row r="60" spans="1:10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</row>
    <row r="61" spans="1:10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</row>
    <row r="62" spans="1:10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</row>
    <row r="63" spans="1:10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</row>
    <row r="64" spans="1:10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</row>
    <row r="72" spans="1:12" s="48" customFormat="1" ht="57.6" x14ac:dyDescent="0.3">
      <c r="A72" s="87" t="s">
        <v>105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106</v>
      </c>
      <c r="B74" s="147"/>
      <c r="C74" s="48"/>
      <c r="D74" s="50"/>
      <c r="E74" s="50"/>
      <c r="F74" s="48"/>
      <c r="G74" s="105"/>
      <c r="H74" s="75"/>
      <c r="I74" s="68"/>
      <c r="J74" s="4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</row>
    <row r="77" spans="1:12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  <c r="J77" s="4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</row>
    <row r="79" spans="1:12" x14ac:dyDescent="0.3">
      <c r="A79" s="83" t="s">
        <v>109</v>
      </c>
      <c r="B79" s="64"/>
      <c r="C79" s="48"/>
      <c r="D79" s="50"/>
      <c r="E79" s="50"/>
      <c r="F79" s="48"/>
      <c r="G79" s="105"/>
      <c r="H79" s="78"/>
      <c r="I79" s="79"/>
      <c r="J79" s="48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</row>
    <row r="81" spans="1:10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</row>
    <row r="82" spans="1:10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</row>
    <row r="83" spans="1:10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</row>
    <row r="84" spans="1:10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  <c r="J84" s="48"/>
    </row>
    <row r="85" spans="1:10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  <c r="J85" s="48"/>
    </row>
    <row r="86" spans="1:10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  <c r="J86" s="48"/>
    </row>
    <row r="87" spans="1:10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  <c r="J87" s="48"/>
    </row>
    <row r="88" spans="1:10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  <c r="J88" s="48"/>
    </row>
    <row r="89" spans="1:10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  <c r="J89" s="48"/>
    </row>
    <row r="90" spans="1:10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10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10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10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C59:D59"/>
    <mergeCell ref="C48:D48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A12:B12"/>
    <mergeCell ref="D13:E13"/>
    <mergeCell ref="C58:D5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D26:E26"/>
    <mergeCell ref="B27:C27"/>
    <mergeCell ref="D27:E27"/>
    <mergeCell ref="B28:C28"/>
    <mergeCell ref="D28:E28"/>
    <mergeCell ref="B26:C26"/>
    <mergeCell ref="B29:C29"/>
    <mergeCell ref="D29:E29"/>
    <mergeCell ref="C47:D47"/>
    <mergeCell ref="D32:E32"/>
    <mergeCell ref="C42:D42"/>
    <mergeCell ref="C43:D43"/>
    <mergeCell ref="C44:D44"/>
    <mergeCell ref="C45:D45"/>
    <mergeCell ref="C46:D46"/>
    <mergeCell ref="A41:D41"/>
    <mergeCell ref="B30:C30"/>
    <mergeCell ref="D30:E30"/>
    <mergeCell ref="B31:C31"/>
    <mergeCell ref="D31:E3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1:C21"/>
    <mergeCell ref="D21:E21"/>
    <mergeCell ref="B22:C22"/>
    <mergeCell ref="D22:E22"/>
    <mergeCell ref="B23:C23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3:E23"/>
    <mergeCell ref="B24:C24"/>
    <mergeCell ref="D24:E24"/>
    <mergeCell ref="B25:C25"/>
    <mergeCell ref="D25:E2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7.33203125" customWidth="1"/>
    <col min="7" max="7" width="28.4414062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'8'!A1+1</f>
        <v>46182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</row>
    <row r="20" spans="1:12" ht="15" customHeight="1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</row>
    <row r="21" spans="1:12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  <c r="L21" s="46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  <c r="L22" s="46"/>
    </row>
    <row r="23" spans="1:12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  <c r="L23" s="46"/>
    </row>
    <row r="24" spans="1:12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  <c r="L24" s="46"/>
    </row>
    <row r="25" spans="1:12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  <c r="L25" s="46"/>
    </row>
    <row r="26" spans="1:12" ht="14.4" customHeight="1" x14ac:dyDescent="0.3">
      <c r="A26" s="267"/>
      <c r="B26" s="275"/>
      <c r="C26" s="276"/>
      <c r="D26" s="273"/>
      <c r="E26" s="274"/>
      <c r="F26" s="48"/>
      <c r="G26" s="118"/>
      <c r="H26" s="52"/>
      <c r="I26" s="73"/>
      <c r="J26" s="48"/>
    </row>
    <row r="27" spans="1:12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</row>
    <row r="28" spans="1:12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</row>
    <row r="29" spans="1:12" x14ac:dyDescent="0.3">
      <c r="A29" s="267"/>
      <c r="B29" s="271"/>
      <c r="C29" s="272"/>
      <c r="D29" s="273"/>
      <c r="E29" s="274"/>
      <c r="F29" s="48"/>
      <c r="G29" s="105"/>
      <c r="H29" s="75"/>
      <c r="I29" s="68"/>
      <c r="J29" s="48"/>
    </row>
    <row r="30" spans="1:12" x14ac:dyDescent="0.3">
      <c r="A30" s="267"/>
      <c r="B30" s="230"/>
      <c r="C30" s="231"/>
      <c r="D30" s="228"/>
      <c r="E30" s="229"/>
      <c r="F30" s="48"/>
      <c r="G30" s="105"/>
      <c r="H30" s="75"/>
      <c r="I30" s="68"/>
      <c r="J30" s="48"/>
    </row>
    <row r="31" spans="1:12" x14ac:dyDescent="0.3">
      <c r="A31" s="267"/>
      <c r="B31" s="230"/>
      <c r="C31" s="231"/>
      <c r="D31" s="228"/>
      <c r="E31" s="229"/>
      <c r="F31" s="48"/>
      <c r="G31" s="105"/>
      <c r="H31" s="75"/>
      <c r="I31" s="68"/>
      <c r="J31" s="48"/>
    </row>
    <row r="32" spans="1:12" x14ac:dyDescent="0.3">
      <c r="A32" s="267"/>
      <c r="B32" s="230"/>
      <c r="C32" s="231"/>
      <c r="D32" s="228"/>
      <c r="E32" s="229"/>
      <c r="F32" s="48"/>
      <c r="G32" s="105"/>
      <c r="H32" s="75"/>
      <c r="I32" s="68"/>
      <c r="J32" s="4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9"/>
      <c r="L33" s="6"/>
    </row>
    <row r="34" spans="1:12" ht="68.400000000000006" customHeight="1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30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'8'!E37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'8'!E39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'8'!E40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9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</row>
    <row r="49" spans="1:12" s="48" customFormat="1" x14ac:dyDescent="0.3">
      <c r="A49" s="52"/>
      <c r="B49" s="57"/>
      <c r="C49" s="205"/>
      <c r="D49" s="206"/>
      <c r="E49" s="55"/>
      <c r="G49" s="105"/>
      <c r="H49" s="75"/>
      <c r="I49" s="68"/>
      <c r="L49" s="50"/>
    </row>
    <row r="50" spans="1:12" s="48" customFormat="1" x14ac:dyDescent="0.3">
      <c r="A50" s="52"/>
      <c r="B50" s="57"/>
      <c r="C50" s="205"/>
      <c r="D50" s="206"/>
      <c r="E50" s="55"/>
      <c r="G50" s="105"/>
      <c r="H50" s="75"/>
      <c r="I50" s="68"/>
      <c r="L50" s="50"/>
    </row>
    <row r="51" spans="1:12" s="48" customFormat="1" x14ac:dyDescent="0.3">
      <c r="A51" s="52"/>
      <c r="B51" s="57"/>
      <c r="C51" s="205"/>
      <c r="D51" s="206"/>
      <c r="E51" s="55"/>
      <c r="G51" s="105"/>
      <c r="H51" s="75"/>
      <c r="I51" s="68"/>
      <c r="L51" s="50"/>
    </row>
    <row r="52" spans="1:12" s="48" customFormat="1" x14ac:dyDescent="0.3">
      <c r="A52" s="52"/>
      <c r="B52" s="57"/>
      <c r="C52" s="205"/>
      <c r="D52" s="206"/>
      <c r="E52" s="55"/>
      <c r="G52" s="105"/>
      <c r="H52" s="75"/>
      <c r="I52" s="68"/>
      <c r="L52" s="50"/>
    </row>
    <row r="53" spans="1:12" s="48" customFormat="1" x14ac:dyDescent="0.3">
      <c r="A53" s="52"/>
      <c r="B53" s="57"/>
      <c r="C53" s="205"/>
      <c r="D53" s="206"/>
      <c r="E53" s="55"/>
      <c r="G53" s="105"/>
      <c r="H53" s="75"/>
      <c r="I53" s="68"/>
      <c r="L53" s="50"/>
    </row>
    <row r="54" spans="1:12" s="48" customFormat="1" x14ac:dyDescent="0.3">
      <c r="A54" s="52"/>
      <c r="B54" s="57"/>
      <c r="C54" s="205"/>
      <c r="D54" s="206"/>
      <c r="E54" s="55"/>
      <c r="G54" s="105"/>
      <c r="H54" s="75"/>
      <c r="I54" s="68"/>
      <c r="L54" s="50"/>
    </row>
    <row r="55" spans="1:12" s="48" customFormat="1" x14ac:dyDescent="0.3">
      <c r="A55" s="52"/>
      <c r="B55" s="57"/>
      <c r="C55" s="205"/>
      <c r="D55" s="206"/>
      <c r="E55" s="55"/>
      <c r="G55" s="105"/>
      <c r="H55" s="75"/>
      <c r="I55" s="68"/>
      <c r="L55" s="50"/>
    </row>
    <row r="56" spans="1:12" s="48" customFormat="1" x14ac:dyDescent="0.3">
      <c r="A56" s="52"/>
      <c r="B56" s="57"/>
      <c r="C56" s="205"/>
      <c r="D56" s="206"/>
      <c r="E56" s="55"/>
      <c r="G56" s="105"/>
      <c r="H56" s="75"/>
      <c r="I56" s="68"/>
      <c r="L56" s="50"/>
    </row>
    <row r="57" spans="1:12" s="48" customFormat="1" x14ac:dyDescent="0.3">
      <c r="A57" s="52"/>
      <c r="B57" s="57"/>
      <c r="C57" s="205"/>
      <c r="D57" s="206"/>
      <c r="E57" s="55"/>
      <c r="G57" s="105"/>
      <c r="H57" s="75"/>
      <c r="I57" s="68"/>
      <c r="L57" s="50"/>
    </row>
    <row r="58" spans="1:12" s="48" customFormat="1" x14ac:dyDescent="0.3">
      <c r="A58" s="52"/>
      <c r="B58" s="57"/>
      <c r="C58" s="205"/>
      <c r="D58" s="206"/>
      <c r="E58" s="55"/>
      <c r="G58" s="105"/>
      <c r="H58" s="75"/>
      <c r="I58" s="68"/>
      <c r="L58" s="50"/>
    </row>
    <row r="59" spans="1:12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</row>
    <row r="60" spans="1:12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</row>
    <row r="61" spans="1:12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</row>
    <row r="62" spans="1:12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</row>
    <row r="63" spans="1:12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</row>
    <row r="64" spans="1:12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107</v>
      </c>
      <c r="B74" s="147"/>
      <c r="C74" s="50"/>
      <c r="D74" s="50"/>
      <c r="E74" s="50"/>
      <c r="F74" s="48"/>
      <c r="G74" s="105"/>
      <c r="H74" s="75"/>
      <c r="I74" s="68"/>
      <c r="J74" s="48"/>
    </row>
    <row r="75" spans="1:12" x14ac:dyDescent="0.3">
      <c r="A75" s="88" t="s">
        <v>35</v>
      </c>
      <c r="B75" s="64">
        <v>0</v>
      </c>
      <c r="C75" s="48"/>
      <c r="D75" s="50"/>
      <c r="E75" s="50"/>
      <c r="F75" s="48"/>
      <c r="G75" s="105"/>
      <c r="H75" s="75"/>
      <c r="I75" s="68"/>
      <c r="J75" s="4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</row>
    <row r="77" spans="1:12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  <c r="J77" s="4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</row>
    <row r="79" spans="1:12" x14ac:dyDescent="0.3">
      <c r="A79" s="83" t="s">
        <v>102</v>
      </c>
      <c r="B79" s="64"/>
      <c r="C79" s="48"/>
      <c r="D79" s="50"/>
      <c r="E79" s="50"/>
      <c r="F79" s="48"/>
      <c r="G79" s="105"/>
      <c r="H79" s="78"/>
      <c r="I79" s="79"/>
      <c r="J79" s="48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</row>
    <row r="81" spans="1:10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</row>
    <row r="82" spans="1:10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</row>
    <row r="83" spans="1:10" ht="15.6" customHeight="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</row>
    <row r="84" spans="1:10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  <c r="J84" s="48"/>
    </row>
    <row r="85" spans="1:10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  <c r="J85" s="48"/>
    </row>
    <row r="86" spans="1:10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  <c r="J86" s="48"/>
    </row>
    <row r="87" spans="1:10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  <c r="J87" s="48"/>
    </row>
    <row r="88" spans="1:10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  <c r="J88" s="48"/>
    </row>
    <row r="89" spans="1:10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  <c r="J89" s="48"/>
    </row>
    <row r="90" spans="1:10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  <c r="J90" s="48"/>
    </row>
    <row r="91" spans="1:10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</row>
    <row r="92" spans="1:10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</row>
    <row r="93" spans="1:10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  <c r="J93" s="48"/>
    </row>
  </sheetData>
  <mergeCells count="96">
    <mergeCell ref="D15:E15"/>
    <mergeCell ref="C44:D44"/>
    <mergeCell ref="A15:C15"/>
    <mergeCell ref="B21:C21"/>
    <mergeCell ref="D21:E21"/>
    <mergeCell ref="B22:C22"/>
    <mergeCell ref="D22:E22"/>
    <mergeCell ref="A16:C16"/>
    <mergeCell ref="D16:E16"/>
    <mergeCell ref="A17:C17"/>
    <mergeCell ref="D17:E17"/>
    <mergeCell ref="A18:E18"/>
    <mergeCell ref="B35:E35"/>
    <mergeCell ref="A41:D41"/>
    <mergeCell ref="B33:C33"/>
    <mergeCell ref="A34:C34"/>
    <mergeCell ref="A9:B9"/>
    <mergeCell ref="D9:E9"/>
    <mergeCell ref="D11:E11"/>
    <mergeCell ref="A14:C14"/>
    <mergeCell ref="D14:E14"/>
    <mergeCell ref="D12:E12"/>
    <mergeCell ref="A13:C13"/>
    <mergeCell ref="A12:B12"/>
    <mergeCell ref="D13:E13"/>
    <mergeCell ref="A11:B11"/>
    <mergeCell ref="A10:B10"/>
    <mergeCell ref="D10:E10"/>
    <mergeCell ref="C62:D62"/>
    <mergeCell ref="B24:C24"/>
    <mergeCell ref="D24:E24"/>
    <mergeCell ref="B25:C25"/>
    <mergeCell ref="D25:E25"/>
    <mergeCell ref="D27:E27"/>
    <mergeCell ref="B28:C28"/>
    <mergeCell ref="B31:C31"/>
    <mergeCell ref="D31:E31"/>
    <mergeCell ref="C47:D47"/>
    <mergeCell ref="D32:E32"/>
    <mergeCell ref="C42:D42"/>
    <mergeCell ref="C43:D43"/>
    <mergeCell ref="C48:D48"/>
    <mergeCell ref="C45:D45"/>
    <mergeCell ref="C46:D46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D34:E34"/>
    <mergeCell ref="B32:C32"/>
    <mergeCell ref="D28:E28"/>
    <mergeCell ref="B29:C29"/>
    <mergeCell ref="D29:E29"/>
    <mergeCell ref="B30:C30"/>
    <mergeCell ref="D30:E30"/>
    <mergeCell ref="D33:E33"/>
    <mergeCell ref="A20:A33"/>
    <mergeCell ref="B23:C23"/>
    <mergeCell ref="D23:E23"/>
    <mergeCell ref="D19:E19"/>
    <mergeCell ref="B20:C20"/>
    <mergeCell ref="D20:E20"/>
    <mergeCell ref="D26:E26"/>
    <mergeCell ref="B27:C27"/>
    <mergeCell ref="A19:C19"/>
    <mergeCell ref="B26:C26"/>
    <mergeCell ref="C49:D49"/>
    <mergeCell ref="C50:D50"/>
    <mergeCell ref="C51:D51"/>
    <mergeCell ref="C52:D52"/>
    <mergeCell ref="C53:D53"/>
    <mergeCell ref="C68:D68"/>
    <mergeCell ref="A83:E83"/>
    <mergeCell ref="A84:E90"/>
    <mergeCell ref="C54:D54"/>
    <mergeCell ref="C55:D55"/>
    <mergeCell ref="C56:D56"/>
    <mergeCell ref="C57:D57"/>
    <mergeCell ref="C58:D58"/>
    <mergeCell ref="C63:D63"/>
    <mergeCell ref="C67:D67"/>
    <mergeCell ref="C66:D66"/>
    <mergeCell ref="C64:D64"/>
    <mergeCell ref="C65:D65"/>
    <mergeCell ref="C59:D59"/>
    <mergeCell ref="C60:D60"/>
    <mergeCell ref="C61:D6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6.44140625" customWidth="1"/>
    <col min="7" max="7" width="32.218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'9'!A1+1</f>
        <v>46183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12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12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12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12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12" x14ac:dyDescent="0.3">
      <c r="A26" s="267"/>
      <c r="B26" s="287"/>
      <c r="C26" s="288"/>
      <c r="D26" s="273"/>
      <c r="E26" s="274"/>
      <c r="F26" s="48"/>
      <c r="G26" s="118"/>
      <c r="H26" s="52"/>
      <c r="I26" s="73"/>
    </row>
    <row r="27" spans="1:12" s="47" customFormat="1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L27" s="46"/>
    </row>
    <row r="28" spans="1:12" s="47" customForma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L28" s="46"/>
    </row>
    <row r="29" spans="1:12" s="47" customFormat="1" x14ac:dyDescent="0.3">
      <c r="A29" s="267"/>
      <c r="B29" s="271"/>
      <c r="C29" s="272"/>
      <c r="D29" s="273"/>
      <c r="E29" s="274"/>
      <c r="F29" s="48"/>
      <c r="G29" s="105"/>
      <c r="H29" s="75"/>
      <c r="I29" s="68"/>
      <c r="L29" s="46"/>
    </row>
    <row r="30" spans="1:12" s="47" customFormat="1" ht="14.4" customHeight="1" x14ac:dyDescent="0.3">
      <c r="A30" s="267"/>
      <c r="B30" s="271"/>
      <c r="C30" s="272"/>
      <c r="D30" s="273"/>
      <c r="E30" s="274"/>
      <c r="F30" s="48"/>
      <c r="G30" s="105"/>
      <c r="H30" s="75"/>
      <c r="I30" s="68"/>
      <c r="L30" s="46"/>
    </row>
    <row r="31" spans="1:12" s="47" customFormat="1" x14ac:dyDescent="0.3">
      <c r="A31" s="267"/>
      <c r="B31" s="271"/>
      <c r="C31" s="272"/>
      <c r="D31" s="273"/>
      <c r="E31" s="274"/>
      <c r="F31" s="48"/>
      <c r="G31" s="105"/>
      <c r="H31" s="75"/>
      <c r="I31" s="68"/>
      <c r="L31" s="46"/>
    </row>
    <row r="32" spans="1:12" x14ac:dyDescent="0.3">
      <c r="A32" s="267"/>
      <c r="B32" s="230"/>
      <c r="C32" s="231"/>
      <c r="D32" s="228"/>
      <c r="E32" s="229"/>
      <c r="F32" s="48"/>
      <c r="G32" s="105"/>
      <c r="H32" s="75"/>
      <c r="I32" s="68"/>
      <c r="K32" s="3">
        <f>D32/1.18</f>
        <v>0</v>
      </c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92.4" customHeight="1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12" s="48" customFormat="1" ht="36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30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'9'!E37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'9'!E39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'9'!E40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121</v>
      </c>
      <c r="B74" s="147"/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102</v>
      </c>
      <c r="B79" s="64"/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C59:D59"/>
    <mergeCell ref="C48:D48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A12:B12"/>
    <mergeCell ref="D13:E13"/>
    <mergeCell ref="C58:D5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D26:E26"/>
    <mergeCell ref="B27:C27"/>
    <mergeCell ref="D27:E27"/>
    <mergeCell ref="B28:C28"/>
    <mergeCell ref="D28:E28"/>
    <mergeCell ref="B26:C26"/>
    <mergeCell ref="B29:C29"/>
    <mergeCell ref="D29:E29"/>
    <mergeCell ref="C47:D47"/>
    <mergeCell ref="D32:E32"/>
    <mergeCell ref="C42:D42"/>
    <mergeCell ref="C43:D43"/>
    <mergeCell ref="C44:D44"/>
    <mergeCell ref="C45:D45"/>
    <mergeCell ref="C46:D46"/>
    <mergeCell ref="A41:D41"/>
    <mergeCell ref="B30:C30"/>
    <mergeCell ref="D30:E30"/>
    <mergeCell ref="B31:C31"/>
    <mergeCell ref="D31:E3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1:C21"/>
    <mergeCell ref="D21:E21"/>
    <mergeCell ref="B22:C22"/>
    <mergeCell ref="D22:E22"/>
    <mergeCell ref="B23:C23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3:E23"/>
    <mergeCell ref="B24:C24"/>
    <mergeCell ref="D24:E24"/>
    <mergeCell ref="B25:C25"/>
    <mergeCell ref="D25:E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G89" sqref="G89"/>
    </sheetView>
  </sheetViews>
  <sheetFormatPr defaultColWidth="8.77734375" defaultRowHeight="14.4" x14ac:dyDescent="0.3"/>
  <cols>
    <col min="1" max="1" width="31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6.44140625" style="50" bestFit="1" customWidth="1"/>
    <col min="6" max="6" width="8.77734375" style="48"/>
    <col min="7" max="7" width="28" style="48" customWidth="1"/>
    <col min="8" max="8" width="36.44140625" style="48" customWidth="1"/>
    <col min="9" max="9" width="16.44140625" style="50" customWidth="1"/>
    <col min="11" max="11" width="8.77734375" customWidth="1"/>
    <col min="12" max="12" width="11" style="3" hidden="1" customWidth="1"/>
  </cols>
  <sheetData>
    <row r="1" spans="1:12" ht="18" thickBot="1" x14ac:dyDescent="0.5">
      <c r="A1" s="45">
        <f>'10'!A1+1</f>
        <v>46184</v>
      </c>
      <c r="B1" s="221" t="str">
        <f>'[4]1'!B1:E1</f>
        <v>DADA SALON GÜN SONU RAPORU</v>
      </c>
      <c r="C1" s="221"/>
      <c r="D1" s="221"/>
      <c r="E1" s="221"/>
      <c r="F1" s="44"/>
      <c r="G1" s="44"/>
      <c r="H1" s="44"/>
      <c r="J1" s="1"/>
    </row>
    <row r="2" spans="1:12" ht="31.8" thickTop="1" thickBot="1" x14ac:dyDescent="0.5">
      <c r="C2" s="277" t="s">
        <v>17</v>
      </c>
      <c r="D2" s="277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12" ht="14.4" customHeight="1" thickTop="1" x14ac:dyDescent="0.3">
      <c r="A21" s="267"/>
      <c r="B21" s="251"/>
      <c r="C21" s="252"/>
      <c r="D21" s="243"/>
      <c r="E21" s="244"/>
      <c r="G21" s="118"/>
      <c r="H21" s="52"/>
      <c r="I21" s="73"/>
    </row>
    <row r="22" spans="1:12" ht="14.4" customHeight="1" x14ac:dyDescent="0.3">
      <c r="A22" s="267"/>
      <c r="B22" s="245"/>
      <c r="C22" s="246"/>
      <c r="D22" s="237"/>
      <c r="E22" s="238"/>
      <c r="G22" s="118"/>
      <c r="H22" s="52"/>
      <c r="I22" s="73"/>
    </row>
    <row r="23" spans="1:12" ht="14.4" customHeight="1" x14ac:dyDescent="0.3">
      <c r="A23" s="267"/>
      <c r="B23" s="245"/>
      <c r="C23" s="246"/>
      <c r="D23" s="237"/>
      <c r="E23" s="238"/>
      <c r="G23" s="118"/>
      <c r="H23" s="52"/>
      <c r="I23" s="73"/>
    </row>
    <row r="24" spans="1:12" ht="14.4" customHeight="1" x14ac:dyDescent="0.3">
      <c r="A24" s="267"/>
      <c r="B24" s="245"/>
      <c r="C24" s="246"/>
      <c r="D24" s="237"/>
      <c r="E24" s="238"/>
      <c r="G24" s="118"/>
      <c r="H24" s="52"/>
      <c r="I24" s="73"/>
    </row>
    <row r="25" spans="1:12" ht="14.4" customHeight="1" x14ac:dyDescent="0.3">
      <c r="A25" s="267"/>
      <c r="B25" s="245"/>
      <c r="C25" s="246"/>
      <c r="D25" s="237"/>
      <c r="E25" s="238"/>
      <c r="G25" s="118"/>
      <c r="H25" s="52"/>
      <c r="I25" s="73"/>
    </row>
    <row r="26" spans="1:12" ht="14.4" customHeight="1" x14ac:dyDescent="0.3">
      <c r="A26" s="267"/>
      <c r="B26" s="287"/>
      <c r="C26" s="288"/>
      <c r="D26" s="273"/>
      <c r="E26" s="274"/>
      <c r="G26" s="118"/>
      <c r="H26" s="52"/>
      <c r="I26" s="73"/>
    </row>
    <row r="27" spans="1:12" s="47" customFormat="1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L27" s="46"/>
    </row>
    <row r="28" spans="1:12" s="47" customFormat="1" x14ac:dyDescent="0.3">
      <c r="A28" s="267"/>
      <c r="B28" s="232"/>
      <c r="C28" s="233"/>
      <c r="D28" s="234"/>
      <c r="E28" s="235"/>
      <c r="F28" s="48"/>
      <c r="G28" s="105"/>
      <c r="H28" s="75"/>
      <c r="I28" s="68"/>
      <c r="L28" s="46"/>
    </row>
    <row r="29" spans="1:12" s="47" customFormat="1" x14ac:dyDescent="0.3">
      <c r="A29" s="267"/>
      <c r="B29" s="230"/>
      <c r="C29" s="231"/>
      <c r="D29" s="228"/>
      <c r="E29" s="229"/>
      <c r="F29" s="48"/>
      <c r="G29" s="105"/>
      <c r="H29" s="75"/>
      <c r="I29" s="68"/>
      <c r="L29" s="46"/>
    </row>
    <row r="30" spans="1:12" s="47" customFormat="1" x14ac:dyDescent="0.3">
      <c r="A30" s="267"/>
      <c r="B30" s="230"/>
      <c r="C30" s="231"/>
      <c r="D30" s="228"/>
      <c r="E30" s="229"/>
      <c r="F30" s="48"/>
      <c r="G30" s="105"/>
      <c r="H30" s="75"/>
      <c r="I30" s="68"/>
      <c r="L30" s="46"/>
    </row>
    <row r="31" spans="1:12" s="47" customFormat="1" x14ac:dyDescent="0.3">
      <c r="A31" s="267"/>
      <c r="B31" s="230"/>
      <c r="C31" s="231"/>
      <c r="D31" s="228"/>
      <c r="E31" s="229"/>
      <c r="F31" s="48"/>
      <c r="G31" s="105"/>
      <c r="H31" s="75"/>
      <c r="I31" s="68"/>
      <c r="L31" s="46"/>
    </row>
    <row r="32" spans="1:12" x14ac:dyDescent="0.3">
      <c r="A32" s="267"/>
      <c r="B32" s="230"/>
      <c r="C32" s="231"/>
      <c r="D32" s="228"/>
      <c r="E32" s="229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'10'!E37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customHeight="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'10'!E39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'10'!E40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12" ht="15.6" thickTop="1" thickBot="1" x14ac:dyDescent="0.35"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12" ht="15" thickTop="1" x14ac:dyDescent="0.3">
      <c r="A71" s="159" t="s">
        <v>95</v>
      </c>
      <c r="B71" s="82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117</v>
      </c>
      <c r="B74" s="147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G75" s="105"/>
      <c r="H75" s="75"/>
      <c r="I75" s="68"/>
    </row>
    <row r="76" spans="1:12" ht="28.8" x14ac:dyDescent="0.3">
      <c r="A76" s="88" t="s">
        <v>28</v>
      </c>
      <c r="B76" s="64"/>
      <c r="G76" s="105"/>
      <c r="H76" s="75"/>
      <c r="I76" s="68"/>
    </row>
    <row r="77" spans="1:12" ht="28.8" x14ac:dyDescent="0.3">
      <c r="A77" s="63" t="s">
        <v>29</v>
      </c>
      <c r="B77" s="64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12" x14ac:dyDescent="0.3">
      <c r="A79" s="83" t="s">
        <v>102</v>
      </c>
      <c r="B79" s="64"/>
      <c r="G79" s="105"/>
      <c r="H79" s="78"/>
      <c r="I79" s="79"/>
    </row>
    <row r="80" spans="1:12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</row>
    <row r="84" spans="1:9" ht="15.6" thickTop="1" thickBot="1" x14ac:dyDescent="0.35">
      <c r="A84" s="303"/>
      <c r="B84" s="304"/>
      <c r="C84" s="304"/>
      <c r="D84" s="304"/>
      <c r="E84" s="305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</row>
    <row r="86" spans="1:9" ht="15.6" thickTop="1" thickBot="1" x14ac:dyDescent="0.35">
      <c r="A86" s="303"/>
      <c r="B86" s="304"/>
      <c r="C86" s="304"/>
      <c r="D86" s="304"/>
      <c r="E86" s="305"/>
    </row>
    <row r="87" spans="1:9" ht="15.6" thickTop="1" thickBot="1" x14ac:dyDescent="0.35">
      <c r="A87" s="303"/>
      <c r="B87" s="304"/>
      <c r="C87" s="304"/>
      <c r="D87" s="304"/>
      <c r="E87" s="305"/>
    </row>
    <row r="88" spans="1:9" ht="15.6" thickTop="1" thickBot="1" x14ac:dyDescent="0.35">
      <c r="A88" s="303"/>
      <c r="B88" s="304"/>
      <c r="C88" s="304"/>
      <c r="D88" s="304"/>
      <c r="E88" s="305"/>
    </row>
    <row r="89" spans="1:9" ht="15.6" thickTop="1" thickBot="1" x14ac:dyDescent="0.35">
      <c r="A89" s="303"/>
      <c r="B89" s="304"/>
      <c r="C89" s="304"/>
      <c r="D89" s="304"/>
      <c r="E89" s="305"/>
    </row>
    <row r="90" spans="1:9" ht="15.6" thickTop="1" thickBot="1" x14ac:dyDescent="0.35">
      <c r="A90" s="303"/>
      <c r="B90" s="304"/>
      <c r="C90" s="304"/>
      <c r="D90" s="304"/>
      <c r="E90" s="305"/>
    </row>
    <row r="91" spans="1:9" ht="15" thickTop="1" x14ac:dyDescent="0.3"/>
    <row r="93" spans="1:9" x14ac:dyDescent="0.3">
      <c r="A93" s="48" t="s">
        <v>14</v>
      </c>
      <c r="B93" s="48" t="s">
        <v>103</v>
      </c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C59:D59"/>
    <mergeCell ref="C48:D48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A12:B12"/>
    <mergeCell ref="D13:E13"/>
    <mergeCell ref="C58:D5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D26:E26"/>
    <mergeCell ref="B27:C27"/>
    <mergeCell ref="D27:E27"/>
    <mergeCell ref="B28:C28"/>
    <mergeCell ref="D28:E28"/>
    <mergeCell ref="B26:C26"/>
    <mergeCell ref="B29:C29"/>
    <mergeCell ref="D29:E29"/>
    <mergeCell ref="C47:D47"/>
    <mergeCell ref="D32:E32"/>
    <mergeCell ref="C42:D42"/>
    <mergeCell ref="C43:D43"/>
    <mergeCell ref="C44:D44"/>
    <mergeCell ref="C45:D45"/>
    <mergeCell ref="C46:D46"/>
    <mergeCell ref="A41:D41"/>
    <mergeCell ref="B30:C30"/>
    <mergeCell ref="D30:E30"/>
    <mergeCell ref="B31:C31"/>
    <mergeCell ref="D31:E3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1:C21"/>
    <mergeCell ref="D21:E21"/>
    <mergeCell ref="B22:C22"/>
    <mergeCell ref="D22:E22"/>
    <mergeCell ref="B23:C23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3:E23"/>
    <mergeCell ref="B24:C24"/>
    <mergeCell ref="D24:E24"/>
    <mergeCell ref="B25:C25"/>
    <mergeCell ref="D25:E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G8" sqref="G8"/>
    </sheetView>
  </sheetViews>
  <sheetFormatPr defaultColWidth="8.77734375" defaultRowHeight="14.4" x14ac:dyDescent="0.3"/>
  <cols>
    <col min="1" max="1" width="31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5.44140625" style="50" customWidth="1"/>
    <col min="6" max="6" width="12.33203125" style="48" bestFit="1" customWidth="1"/>
    <col min="7" max="7" width="28" style="48" customWidth="1"/>
    <col min="8" max="8" width="36.44140625" style="48" customWidth="1"/>
    <col min="9" max="9" width="16.44140625" style="50" customWidth="1"/>
    <col min="11" max="11" width="8.77734375" customWidth="1"/>
    <col min="12" max="12" width="11" style="3" hidden="1" customWidth="1"/>
  </cols>
  <sheetData>
    <row r="1" spans="1:12" ht="18" thickBot="1" x14ac:dyDescent="0.5">
      <c r="A1" s="45">
        <f>'11'!A1+1</f>
        <v>46185</v>
      </c>
      <c r="B1" s="221" t="str">
        <f>'[5]1'!B1:E1</f>
        <v>DADA SALON GÜN SONU RAPORU</v>
      </c>
      <c r="C1" s="221"/>
      <c r="D1" s="221"/>
      <c r="E1" s="221"/>
      <c r="F1" s="44"/>
      <c r="G1" s="44"/>
      <c r="H1" s="44"/>
      <c r="J1" s="1"/>
    </row>
    <row r="2" spans="1:12" ht="31.8" thickTop="1" thickBot="1" x14ac:dyDescent="0.5">
      <c r="C2" s="277" t="s">
        <v>17</v>
      </c>
      <c r="D2" s="277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</row>
    <row r="20" spans="1:12" ht="15" customHeight="1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12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L21" s="46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L22" s="46"/>
    </row>
    <row r="23" spans="1:12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L23" s="46"/>
    </row>
    <row r="24" spans="1:12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46"/>
    </row>
    <row r="25" spans="1:12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ht="14.4" customHeight="1" x14ac:dyDescent="0.3">
      <c r="A26" s="267"/>
      <c r="B26" s="275"/>
      <c r="C26" s="276"/>
      <c r="D26" s="273"/>
      <c r="E26" s="274"/>
      <c r="G26" s="118"/>
      <c r="H26" s="52"/>
      <c r="I26" s="73"/>
    </row>
    <row r="27" spans="1:12" ht="14.4" customHeight="1" x14ac:dyDescent="0.3">
      <c r="A27" s="267"/>
      <c r="B27" s="271"/>
      <c r="C27" s="272"/>
      <c r="D27" s="273"/>
      <c r="E27" s="274"/>
      <c r="G27" s="105"/>
      <c r="H27" s="75"/>
      <c r="I27" s="68"/>
    </row>
    <row r="28" spans="1:12" ht="14.4" customHeight="1" x14ac:dyDescent="0.3">
      <c r="A28" s="267"/>
      <c r="B28" s="245"/>
      <c r="C28" s="246"/>
      <c r="D28" s="237"/>
      <c r="E28" s="238"/>
      <c r="G28" s="105"/>
      <c r="H28" s="75"/>
      <c r="I28" s="68"/>
    </row>
    <row r="29" spans="1:12" x14ac:dyDescent="0.3">
      <c r="A29" s="267"/>
      <c r="B29" s="271"/>
      <c r="C29" s="272"/>
      <c r="D29" s="273"/>
      <c r="E29" s="274"/>
      <c r="G29" s="105"/>
      <c r="H29" s="75"/>
      <c r="I29" s="68"/>
    </row>
    <row r="30" spans="1:12" x14ac:dyDescent="0.3">
      <c r="A30" s="267"/>
      <c r="B30" s="230"/>
      <c r="C30" s="231"/>
      <c r="D30" s="228"/>
      <c r="E30" s="229"/>
      <c r="G30" s="105"/>
      <c r="H30" s="75"/>
      <c r="I30" s="68"/>
    </row>
    <row r="31" spans="1:12" x14ac:dyDescent="0.3">
      <c r="A31" s="267"/>
      <c r="B31" s="230"/>
      <c r="C31" s="231"/>
      <c r="D31" s="228"/>
      <c r="E31" s="229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'11'!E37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'11'!E39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'11'!E40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12" ht="15.6" thickTop="1" thickBot="1" x14ac:dyDescent="0.35"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12" ht="15" thickTop="1" x14ac:dyDescent="0.3">
      <c r="A71" s="159" t="s">
        <v>95</v>
      </c>
      <c r="B71" s="82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108</v>
      </c>
      <c r="B74" s="147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G75" s="105"/>
      <c r="H75" s="75"/>
      <c r="I75" s="68"/>
    </row>
    <row r="76" spans="1:12" ht="28.8" x14ac:dyDescent="0.3">
      <c r="A76" s="88" t="s">
        <v>28</v>
      </c>
      <c r="B76" s="64"/>
      <c r="G76" s="105"/>
      <c r="H76" s="75"/>
      <c r="I76" s="68"/>
    </row>
    <row r="77" spans="1:12" ht="28.8" x14ac:dyDescent="0.3">
      <c r="A77" s="63" t="s">
        <v>29</v>
      </c>
      <c r="B77" s="64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12" x14ac:dyDescent="0.3">
      <c r="A79" s="83" t="s">
        <v>98</v>
      </c>
      <c r="B79" s="64"/>
      <c r="G79" s="105"/>
      <c r="H79" s="78"/>
      <c r="I79" s="79"/>
    </row>
    <row r="80" spans="1:12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</row>
    <row r="84" spans="1:9" ht="15.6" thickTop="1" thickBot="1" x14ac:dyDescent="0.35">
      <c r="A84" s="303"/>
      <c r="B84" s="304"/>
      <c r="C84" s="304"/>
      <c r="D84" s="304"/>
      <c r="E84" s="305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</row>
    <row r="86" spans="1:9" ht="15.6" thickTop="1" thickBot="1" x14ac:dyDescent="0.35">
      <c r="A86" s="303"/>
      <c r="B86" s="304"/>
      <c r="C86" s="304"/>
      <c r="D86" s="304"/>
      <c r="E86" s="305"/>
    </row>
    <row r="87" spans="1:9" ht="15.6" thickTop="1" thickBot="1" x14ac:dyDescent="0.35">
      <c r="A87" s="303"/>
      <c r="B87" s="304"/>
      <c r="C87" s="304"/>
      <c r="D87" s="304"/>
      <c r="E87" s="305"/>
    </row>
    <row r="88" spans="1:9" ht="15.6" thickTop="1" thickBot="1" x14ac:dyDescent="0.35">
      <c r="A88" s="303"/>
      <c r="B88" s="304"/>
      <c r="C88" s="304"/>
      <c r="D88" s="304"/>
      <c r="E88" s="305"/>
    </row>
    <row r="89" spans="1:9" ht="15.6" thickTop="1" thickBot="1" x14ac:dyDescent="0.35">
      <c r="A89" s="303"/>
      <c r="B89" s="304"/>
      <c r="C89" s="304"/>
      <c r="D89" s="304"/>
      <c r="E89" s="305"/>
    </row>
    <row r="90" spans="1:9" ht="15.6" thickTop="1" thickBot="1" x14ac:dyDescent="0.35">
      <c r="A90" s="303"/>
      <c r="B90" s="304"/>
      <c r="C90" s="304"/>
      <c r="D90" s="304"/>
      <c r="E90" s="305"/>
    </row>
    <row r="91" spans="1:9" ht="15" thickTop="1" x14ac:dyDescent="0.3"/>
    <row r="93" spans="1:9" x14ac:dyDescent="0.3">
      <c r="A93" s="48" t="s">
        <v>14</v>
      </c>
      <c r="B93" s="48" t="s">
        <v>103</v>
      </c>
    </row>
  </sheetData>
  <mergeCells count="96">
    <mergeCell ref="A9:B9"/>
    <mergeCell ref="D9:E9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C56:D56"/>
    <mergeCell ref="C57:D57"/>
    <mergeCell ref="C58:D58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C54:D54"/>
    <mergeCell ref="C55:D55"/>
    <mergeCell ref="C49:D49"/>
    <mergeCell ref="B32:C32"/>
    <mergeCell ref="D26:E26"/>
    <mergeCell ref="B27:C27"/>
    <mergeCell ref="D27:E27"/>
    <mergeCell ref="A19:C19"/>
    <mergeCell ref="B24:C24"/>
    <mergeCell ref="D24:E24"/>
    <mergeCell ref="B25:C25"/>
    <mergeCell ref="D25:E25"/>
    <mergeCell ref="B23:C23"/>
    <mergeCell ref="D23:E23"/>
    <mergeCell ref="B26:C26"/>
    <mergeCell ref="D28:E28"/>
    <mergeCell ref="B29:C29"/>
    <mergeCell ref="D29:E29"/>
    <mergeCell ref="B30:C30"/>
    <mergeCell ref="D30:E30"/>
    <mergeCell ref="B28:C28"/>
    <mergeCell ref="D11:E11"/>
    <mergeCell ref="A14:C14"/>
    <mergeCell ref="D14:E14"/>
    <mergeCell ref="A15:C15"/>
    <mergeCell ref="D12:E12"/>
    <mergeCell ref="A13:C13"/>
    <mergeCell ref="D13:E13"/>
    <mergeCell ref="A11:B11"/>
    <mergeCell ref="A12:B12"/>
    <mergeCell ref="D15:E15"/>
    <mergeCell ref="A17:C17"/>
    <mergeCell ref="D17:E17"/>
    <mergeCell ref="A18:E18"/>
    <mergeCell ref="D19:E19"/>
    <mergeCell ref="B20:C20"/>
    <mergeCell ref="D20:E20"/>
    <mergeCell ref="A84:E90"/>
    <mergeCell ref="A20:A33"/>
    <mergeCell ref="B33:C33"/>
    <mergeCell ref="A34:C34"/>
    <mergeCell ref="D34:E34"/>
    <mergeCell ref="B35:E35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C59:D59"/>
    <mergeCell ref="A10:B10"/>
    <mergeCell ref="D10:E10"/>
    <mergeCell ref="A41:D41"/>
    <mergeCell ref="C68:D68"/>
    <mergeCell ref="A83:E83"/>
    <mergeCell ref="C48:D48"/>
    <mergeCell ref="A16:C16"/>
    <mergeCell ref="D16:E16"/>
    <mergeCell ref="C50:D50"/>
    <mergeCell ref="C51:D51"/>
    <mergeCell ref="C52:D52"/>
    <mergeCell ref="C53:D53"/>
    <mergeCell ref="B21:C21"/>
    <mergeCell ref="D21:E21"/>
    <mergeCell ref="B22:C22"/>
    <mergeCell ref="D22:E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93"/>
  <sheetViews>
    <sheetView workbookViewId="0">
      <pane xSplit="2" ySplit="2" topLeftCell="C81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A84" sqref="A84:E90"/>
    </sheetView>
  </sheetViews>
  <sheetFormatPr defaultColWidth="8.77734375" defaultRowHeight="14.4" x14ac:dyDescent="0.3"/>
  <cols>
    <col min="1" max="1" width="31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6.44140625" style="50" bestFit="1" customWidth="1"/>
    <col min="6" max="6" width="16.21875" style="48" customWidth="1"/>
    <col min="7" max="7" width="27.5546875" style="48" customWidth="1"/>
    <col min="8" max="8" width="25.44140625" style="48" customWidth="1"/>
    <col min="9" max="9" width="22" style="50" customWidth="1"/>
    <col min="11" max="11" width="8.77734375" customWidth="1"/>
    <col min="12" max="12" width="11" style="3" hidden="1" customWidth="1"/>
  </cols>
  <sheetData>
    <row r="1" spans="1:12" ht="18" thickBot="1" x14ac:dyDescent="0.5">
      <c r="A1" s="45">
        <f>'12'!A1+1</f>
        <v>46186</v>
      </c>
      <c r="B1" s="221" t="str">
        <f>'[6]1'!B1:E1</f>
        <v>DADA SALON GÜN SONU RAPORU</v>
      </c>
      <c r="C1" s="221"/>
      <c r="D1" s="221"/>
      <c r="E1" s="221"/>
      <c r="F1" s="39"/>
      <c r="G1" s="44"/>
      <c r="H1" s="44"/>
      <c r="J1" s="1"/>
    </row>
    <row r="2" spans="1:12" ht="31.8" thickTop="1" thickBot="1" x14ac:dyDescent="0.5">
      <c r="C2" s="277" t="s">
        <v>17</v>
      </c>
      <c r="D2" s="277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  <c r="K19">
        <f>6200*1.18</f>
        <v>7316</v>
      </c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12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L21" s="46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L22" s="46"/>
    </row>
    <row r="23" spans="1:12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L23" s="46"/>
    </row>
    <row r="24" spans="1:12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46"/>
    </row>
    <row r="25" spans="1:12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ht="14.4" customHeight="1" x14ac:dyDescent="0.3">
      <c r="A26" s="267"/>
      <c r="B26" s="287"/>
      <c r="C26" s="288"/>
      <c r="D26" s="273"/>
      <c r="E26" s="274"/>
      <c r="G26" s="118"/>
      <c r="H26" s="52"/>
      <c r="I26" s="73"/>
    </row>
    <row r="27" spans="1:12" ht="14.4" customHeight="1" x14ac:dyDescent="0.3">
      <c r="A27" s="267"/>
      <c r="B27" s="271"/>
      <c r="C27" s="272"/>
      <c r="D27" s="273"/>
      <c r="E27" s="274"/>
      <c r="G27" s="105"/>
      <c r="H27" s="75"/>
      <c r="I27" s="68"/>
    </row>
    <row r="28" spans="1:12" ht="14.4" customHeight="1" x14ac:dyDescent="0.3">
      <c r="A28" s="267"/>
      <c r="B28" s="245"/>
      <c r="C28" s="246"/>
      <c r="D28" s="237"/>
      <c r="E28" s="238"/>
      <c r="G28" s="105"/>
      <c r="H28" s="75"/>
      <c r="I28" s="68"/>
    </row>
    <row r="29" spans="1:12" ht="14.4" customHeight="1" x14ac:dyDescent="0.3">
      <c r="A29" s="267"/>
      <c r="B29" s="271"/>
      <c r="C29" s="272"/>
      <c r="D29" s="273"/>
      <c r="E29" s="274"/>
      <c r="G29" s="105"/>
      <c r="H29" s="75"/>
      <c r="I29" s="68"/>
    </row>
    <row r="30" spans="1:12" x14ac:dyDescent="0.3">
      <c r="A30" s="267"/>
      <c r="B30" s="230"/>
      <c r="C30" s="231"/>
      <c r="D30" s="228"/>
      <c r="E30" s="229"/>
      <c r="G30" s="105"/>
      <c r="H30" s="75"/>
      <c r="I30" s="68"/>
    </row>
    <row r="31" spans="1:12" x14ac:dyDescent="0.3">
      <c r="A31" s="267"/>
      <c r="B31" s="230"/>
      <c r="C31" s="231"/>
      <c r="D31" s="228"/>
      <c r="E31" s="229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12" s="48" customFormat="1" ht="36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30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'12'!E37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'12'!E39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'12'!E40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12" ht="15.6" thickTop="1" thickBot="1" x14ac:dyDescent="0.35"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12" ht="15" thickTop="1" x14ac:dyDescent="0.3">
      <c r="A71" s="159" t="s">
        <v>95</v>
      </c>
      <c r="B71" s="82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43.8" thickTop="1" x14ac:dyDescent="0.3">
      <c r="A74" s="87" t="s">
        <v>118</v>
      </c>
      <c r="B74" s="147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G75" s="105"/>
      <c r="H75" s="75"/>
      <c r="I75" s="68"/>
    </row>
    <row r="76" spans="1:12" ht="28.8" x14ac:dyDescent="0.3">
      <c r="A76" s="88" t="s">
        <v>28</v>
      </c>
      <c r="B76" s="64"/>
      <c r="G76" s="105"/>
      <c r="H76" s="75"/>
      <c r="I76" s="68"/>
    </row>
    <row r="77" spans="1:12" ht="28.8" x14ac:dyDescent="0.3">
      <c r="A77" s="63" t="s">
        <v>29</v>
      </c>
      <c r="B77" s="64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12" x14ac:dyDescent="0.3">
      <c r="A79" s="83" t="s">
        <v>102</v>
      </c>
      <c r="B79" s="64"/>
      <c r="G79" s="105"/>
      <c r="H79" s="78"/>
      <c r="I79" s="79"/>
    </row>
    <row r="80" spans="1:12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</row>
    <row r="84" spans="1:9" ht="15.6" thickTop="1" thickBot="1" x14ac:dyDescent="0.35">
      <c r="A84" s="303"/>
      <c r="B84" s="304"/>
      <c r="C84" s="304"/>
      <c r="D84" s="304"/>
      <c r="E84" s="305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</row>
    <row r="86" spans="1:9" ht="15.6" thickTop="1" thickBot="1" x14ac:dyDescent="0.35">
      <c r="A86" s="303"/>
      <c r="B86" s="304"/>
      <c r="C86" s="304"/>
      <c r="D86" s="304"/>
      <c r="E86" s="305"/>
    </row>
    <row r="87" spans="1:9" ht="15.6" thickTop="1" thickBot="1" x14ac:dyDescent="0.35">
      <c r="A87" s="303"/>
      <c r="B87" s="304"/>
      <c r="C87" s="304"/>
      <c r="D87" s="304"/>
      <c r="E87" s="305"/>
    </row>
    <row r="88" spans="1:9" ht="15.6" thickTop="1" thickBot="1" x14ac:dyDescent="0.35">
      <c r="A88" s="303"/>
      <c r="B88" s="304"/>
      <c r="C88" s="304"/>
      <c r="D88" s="304"/>
      <c r="E88" s="305"/>
    </row>
    <row r="89" spans="1:9" ht="15.6" thickTop="1" thickBot="1" x14ac:dyDescent="0.35">
      <c r="A89" s="303"/>
      <c r="B89" s="304"/>
      <c r="C89" s="304"/>
      <c r="D89" s="304"/>
      <c r="E89" s="305"/>
    </row>
    <row r="90" spans="1:9" ht="15.6" thickTop="1" thickBot="1" x14ac:dyDescent="0.35">
      <c r="A90" s="303"/>
      <c r="B90" s="304"/>
      <c r="C90" s="304"/>
      <c r="D90" s="304"/>
      <c r="E90" s="305"/>
    </row>
    <row r="91" spans="1:9" ht="15" thickTop="1" x14ac:dyDescent="0.3"/>
    <row r="93" spans="1:9" x14ac:dyDescent="0.3">
      <c r="A93" s="48" t="s">
        <v>14</v>
      </c>
      <c r="B93" s="48" t="s">
        <v>103</v>
      </c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D13:E13"/>
    <mergeCell ref="A12:B12"/>
    <mergeCell ref="C59:D59"/>
    <mergeCell ref="C48:D48"/>
    <mergeCell ref="C55:D55"/>
    <mergeCell ref="C56:D56"/>
    <mergeCell ref="C57:D57"/>
    <mergeCell ref="C49:D49"/>
    <mergeCell ref="C50:D50"/>
    <mergeCell ref="C51:D51"/>
    <mergeCell ref="C52:D52"/>
    <mergeCell ref="B21:C21"/>
    <mergeCell ref="D21:E21"/>
    <mergeCell ref="B22:C22"/>
    <mergeCell ref="D22:E22"/>
    <mergeCell ref="D26:E26"/>
    <mergeCell ref="B23:C23"/>
    <mergeCell ref="D23:E23"/>
    <mergeCell ref="B24:C24"/>
    <mergeCell ref="D24:E24"/>
    <mergeCell ref="B25:C25"/>
    <mergeCell ref="D25:E25"/>
    <mergeCell ref="B26:C26"/>
    <mergeCell ref="B27:C27"/>
    <mergeCell ref="D27:E27"/>
    <mergeCell ref="B28:C28"/>
    <mergeCell ref="C58:D58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C53:D53"/>
    <mergeCell ref="C54:D54"/>
    <mergeCell ref="A41:D4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8:E28"/>
    <mergeCell ref="B29:C29"/>
    <mergeCell ref="D29:E29"/>
    <mergeCell ref="B30:C30"/>
    <mergeCell ref="D30:E30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3"/>
  <sheetViews>
    <sheetView workbookViewId="0">
      <pane xSplit="2" ySplit="2" topLeftCell="C30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B39" sqref="B39"/>
    </sheetView>
  </sheetViews>
  <sheetFormatPr defaultColWidth="8.77734375" defaultRowHeight="14.4" x14ac:dyDescent="0.3"/>
  <cols>
    <col min="1" max="1" width="31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6.44140625" style="50" bestFit="1" customWidth="1"/>
    <col min="6" max="6" width="10.33203125" style="48" bestFit="1" customWidth="1"/>
    <col min="7" max="7" width="26.77734375" style="48" customWidth="1"/>
    <col min="8" max="8" width="36.44140625" style="48" customWidth="1"/>
    <col min="9" max="9" width="16.44140625" style="50" customWidth="1"/>
    <col min="11" max="11" width="8.77734375" customWidth="1"/>
    <col min="12" max="12" width="11" style="3" hidden="1" customWidth="1"/>
  </cols>
  <sheetData>
    <row r="1" spans="1:12" ht="18" thickBot="1" x14ac:dyDescent="0.5">
      <c r="A1" s="45">
        <f>'13'!A1+1</f>
        <v>46187</v>
      </c>
      <c r="B1" s="221" t="str">
        <f>'1'!B1:E1</f>
        <v>DADA SALON KABARETT GÜN SONU RAPORU</v>
      </c>
      <c r="C1" s="221"/>
      <c r="D1" s="221"/>
      <c r="E1" s="221"/>
      <c r="F1" s="44"/>
      <c r="G1" s="44"/>
      <c r="H1" s="44"/>
      <c r="J1" s="1"/>
    </row>
    <row r="2" spans="1:12" ht="31.8" thickTop="1" thickBot="1" x14ac:dyDescent="0.5">
      <c r="C2" s="277" t="s">
        <v>17</v>
      </c>
      <c r="D2" s="277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12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L21" s="46"/>
    </row>
    <row r="22" spans="1:12" s="47" customForma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L22" s="46"/>
    </row>
    <row r="23" spans="1:12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L23" s="46"/>
    </row>
    <row r="24" spans="1:12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46"/>
    </row>
    <row r="25" spans="1:12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ht="14.4" customHeight="1" x14ac:dyDescent="0.3">
      <c r="A26" s="267"/>
      <c r="B26" s="287"/>
      <c r="C26" s="288"/>
      <c r="D26" s="273"/>
      <c r="E26" s="274"/>
      <c r="G26" s="118"/>
      <c r="H26" s="52"/>
      <c r="I26" s="73"/>
    </row>
    <row r="27" spans="1:12" x14ac:dyDescent="0.3">
      <c r="A27" s="267"/>
      <c r="B27" s="271"/>
      <c r="C27" s="272"/>
      <c r="D27" s="273"/>
      <c r="E27" s="274"/>
      <c r="G27" s="105"/>
      <c r="H27" s="75"/>
      <c r="I27" s="68"/>
    </row>
    <row r="28" spans="1:12" x14ac:dyDescent="0.3">
      <c r="A28" s="267"/>
      <c r="B28" s="245"/>
      <c r="C28" s="246"/>
      <c r="D28" s="237"/>
      <c r="E28" s="238"/>
      <c r="G28" s="105"/>
      <c r="H28" s="75"/>
      <c r="I28" s="68"/>
    </row>
    <row r="29" spans="1:12" ht="14.4" customHeight="1" x14ac:dyDescent="0.3">
      <c r="A29" s="267"/>
      <c r="B29" s="271"/>
      <c r="C29" s="272"/>
      <c r="D29" s="273"/>
      <c r="E29" s="274"/>
      <c r="G29" s="105"/>
      <c r="H29" s="75"/>
      <c r="I29" s="68"/>
    </row>
    <row r="30" spans="1:12" ht="14.4" customHeight="1" x14ac:dyDescent="0.3">
      <c r="A30" s="267"/>
      <c r="B30" s="230"/>
      <c r="C30" s="231"/>
      <c r="D30" s="228"/>
      <c r="E30" s="229"/>
      <c r="G30" s="105"/>
      <c r="H30" s="75"/>
      <c r="I30" s="68"/>
    </row>
    <row r="31" spans="1:12" x14ac:dyDescent="0.3">
      <c r="A31" s="267"/>
      <c r="B31" s="230"/>
      <c r="C31" s="231"/>
      <c r="D31" s="228"/>
      <c r="E31" s="229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'13'!E37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'13'!E39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'13'!E40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12" ht="15.6" thickTop="1" thickBot="1" x14ac:dyDescent="0.35"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12" ht="29.4" thickTop="1" x14ac:dyDescent="0.3">
      <c r="A71" s="159" t="s">
        <v>119</v>
      </c>
      <c r="B71" s="82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43.8" thickTop="1" x14ac:dyDescent="0.3">
      <c r="A74" s="87" t="s">
        <v>122</v>
      </c>
      <c r="B74" s="147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G75" s="105"/>
      <c r="H75" s="75"/>
      <c r="I75" s="68"/>
    </row>
    <row r="76" spans="1:12" ht="28.8" x14ac:dyDescent="0.3">
      <c r="A76" s="88" t="s">
        <v>28</v>
      </c>
      <c r="B76" s="64"/>
      <c r="G76" s="105"/>
      <c r="H76" s="75"/>
      <c r="I76" s="68"/>
    </row>
    <row r="77" spans="1:12" ht="28.8" x14ac:dyDescent="0.3">
      <c r="A77" s="63" t="s">
        <v>29</v>
      </c>
      <c r="B77" s="64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12" x14ac:dyDescent="0.3">
      <c r="A79" s="83" t="s">
        <v>102</v>
      </c>
      <c r="B79" s="64"/>
      <c r="G79" s="105"/>
      <c r="H79" s="78"/>
      <c r="I79" s="79"/>
    </row>
    <row r="80" spans="1:12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</row>
    <row r="84" spans="1:9" ht="15.6" thickTop="1" thickBot="1" x14ac:dyDescent="0.35">
      <c r="A84" s="303"/>
      <c r="B84" s="304"/>
      <c r="C84" s="304"/>
      <c r="D84" s="304"/>
      <c r="E84" s="305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</row>
    <row r="86" spans="1:9" ht="15.6" thickTop="1" thickBot="1" x14ac:dyDescent="0.35">
      <c r="A86" s="303"/>
      <c r="B86" s="304"/>
      <c r="C86" s="304"/>
      <c r="D86" s="304"/>
      <c r="E86" s="305"/>
    </row>
    <row r="87" spans="1:9" ht="15.6" thickTop="1" thickBot="1" x14ac:dyDescent="0.35">
      <c r="A87" s="303"/>
      <c r="B87" s="304"/>
      <c r="C87" s="304"/>
      <c r="D87" s="304"/>
      <c r="E87" s="305"/>
    </row>
    <row r="88" spans="1:9" ht="15.6" thickTop="1" thickBot="1" x14ac:dyDescent="0.35">
      <c r="A88" s="303"/>
      <c r="B88" s="304"/>
      <c r="C88" s="304"/>
      <c r="D88" s="304"/>
      <c r="E88" s="305"/>
    </row>
    <row r="89" spans="1:9" ht="15.6" thickTop="1" thickBot="1" x14ac:dyDescent="0.35">
      <c r="A89" s="303"/>
      <c r="B89" s="304"/>
      <c r="C89" s="304"/>
      <c r="D89" s="304"/>
      <c r="E89" s="305"/>
    </row>
    <row r="90" spans="1:9" ht="15.6" thickTop="1" thickBot="1" x14ac:dyDescent="0.35">
      <c r="A90" s="303"/>
      <c r="B90" s="304"/>
      <c r="C90" s="304"/>
      <c r="D90" s="304"/>
      <c r="E90" s="305"/>
    </row>
    <row r="91" spans="1:9" ht="15" thickTop="1" x14ac:dyDescent="0.3"/>
    <row r="93" spans="1:9" x14ac:dyDescent="0.3">
      <c r="A93" s="48" t="s">
        <v>14</v>
      </c>
      <c r="B93" s="48" t="s">
        <v>103</v>
      </c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D13:E13"/>
    <mergeCell ref="A12:B12"/>
    <mergeCell ref="C59:D59"/>
    <mergeCell ref="C48:D48"/>
    <mergeCell ref="C55:D55"/>
    <mergeCell ref="C56:D56"/>
    <mergeCell ref="C57:D57"/>
    <mergeCell ref="C49:D49"/>
    <mergeCell ref="C50:D50"/>
    <mergeCell ref="C51:D51"/>
    <mergeCell ref="C52:D52"/>
    <mergeCell ref="B21:C21"/>
    <mergeCell ref="D21:E21"/>
    <mergeCell ref="B22:C22"/>
    <mergeCell ref="D22:E22"/>
    <mergeCell ref="D26:E26"/>
    <mergeCell ref="B23:C23"/>
    <mergeCell ref="D23:E23"/>
    <mergeCell ref="B24:C24"/>
    <mergeCell ref="D24:E24"/>
    <mergeCell ref="B25:C25"/>
    <mergeCell ref="D25:E25"/>
    <mergeCell ref="B26:C26"/>
    <mergeCell ref="B27:C27"/>
    <mergeCell ref="D27:E27"/>
    <mergeCell ref="B28:C28"/>
    <mergeCell ref="C58:D58"/>
    <mergeCell ref="B31:C31"/>
    <mergeCell ref="D31:E31"/>
    <mergeCell ref="C47:D47"/>
    <mergeCell ref="D32:E32"/>
    <mergeCell ref="C43:D43"/>
    <mergeCell ref="C44:D44"/>
    <mergeCell ref="C45:D45"/>
    <mergeCell ref="C46:D46"/>
    <mergeCell ref="C42:D42"/>
    <mergeCell ref="C53:D53"/>
    <mergeCell ref="C54:D54"/>
    <mergeCell ref="A41:D4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8:E28"/>
    <mergeCell ref="B29:C29"/>
    <mergeCell ref="D29:E29"/>
    <mergeCell ref="B30:C30"/>
    <mergeCell ref="D30:E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6.44140625" style="50" bestFit="1" customWidth="1"/>
    <col min="6" max="6" width="13.77734375" style="48" bestFit="1" customWidth="1"/>
    <col min="7" max="7" width="31.5546875" style="48" customWidth="1"/>
    <col min="8" max="8" width="36.44140625" style="48" customWidth="1"/>
    <col min="9" max="9" width="16.44140625" style="50" customWidth="1"/>
    <col min="11" max="11" width="8.77734375" customWidth="1"/>
    <col min="12" max="12" width="11" style="3" hidden="1" customWidth="1"/>
  </cols>
  <sheetData>
    <row r="1" spans="1:12" ht="18" thickBot="1" x14ac:dyDescent="0.5">
      <c r="A1" s="45">
        <f>'14'!A1+1</f>
        <v>46188</v>
      </c>
      <c r="B1" s="221" t="str">
        <f>'[7]1'!B1:E1</f>
        <v>DADA SALON GÜN SONU RAPORU</v>
      </c>
      <c r="C1" s="221"/>
      <c r="D1" s="221"/>
      <c r="E1" s="221"/>
      <c r="F1" s="44"/>
      <c r="G1" s="44"/>
      <c r="H1" s="44"/>
      <c r="J1" s="1"/>
    </row>
    <row r="2" spans="1:12" ht="31.8" thickTop="1" thickBot="1" x14ac:dyDescent="0.5">
      <c r="C2" s="277" t="s">
        <v>17</v>
      </c>
      <c r="D2" s="277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</row>
    <row r="20" spans="1:12" ht="15" customHeight="1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12" ht="14.4" customHeight="1" thickTop="1" x14ac:dyDescent="0.3">
      <c r="A21" s="267"/>
      <c r="B21" s="251"/>
      <c r="C21" s="252"/>
      <c r="D21" s="243"/>
      <c r="E21" s="244"/>
      <c r="G21" s="118"/>
      <c r="H21" s="52"/>
      <c r="I21" s="73"/>
    </row>
    <row r="22" spans="1:12" ht="14.4" customHeight="1" x14ac:dyDescent="0.3">
      <c r="A22" s="267"/>
      <c r="B22" s="245"/>
      <c r="C22" s="246"/>
      <c r="D22" s="237"/>
      <c r="E22" s="238"/>
      <c r="G22" s="118"/>
      <c r="H22" s="52"/>
      <c r="I22" s="73"/>
    </row>
    <row r="23" spans="1:12" ht="14.4" customHeight="1" x14ac:dyDescent="0.3">
      <c r="A23" s="267"/>
      <c r="B23" s="245"/>
      <c r="C23" s="246"/>
      <c r="D23" s="237"/>
      <c r="E23" s="238"/>
      <c r="G23" s="118"/>
      <c r="H23" s="52"/>
      <c r="I23" s="73"/>
    </row>
    <row r="24" spans="1:12" ht="14.4" customHeight="1" x14ac:dyDescent="0.3">
      <c r="A24" s="267"/>
      <c r="B24" s="245"/>
      <c r="C24" s="246"/>
      <c r="D24" s="237"/>
      <c r="E24" s="238"/>
      <c r="G24" s="118"/>
      <c r="H24" s="52"/>
      <c r="I24" s="73"/>
    </row>
    <row r="25" spans="1:12" ht="14.4" customHeight="1" x14ac:dyDescent="0.3">
      <c r="A25" s="267"/>
      <c r="B25" s="245"/>
      <c r="C25" s="246"/>
      <c r="D25" s="237"/>
      <c r="E25" s="238"/>
      <c r="G25" s="118"/>
      <c r="H25" s="52"/>
      <c r="I25" s="73"/>
    </row>
    <row r="26" spans="1:12" s="47" customFormat="1" x14ac:dyDescent="0.3">
      <c r="A26" s="267"/>
      <c r="B26" s="287"/>
      <c r="C26" s="288"/>
      <c r="D26" s="273"/>
      <c r="E26" s="274"/>
      <c r="F26" s="48"/>
      <c r="G26" s="118"/>
      <c r="H26" s="52"/>
      <c r="I26" s="73"/>
      <c r="L26" s="46"/>
    </row>
    <row r="27" spans="1:12" s="47" customForma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L27" s="46"/>
    </row>
    <row r="28" spans="1:12" s="47" customFormat="1" x14ac:dyDescent="0.3">
      <c r="A28" s="267"/>
      <c r="B28" s="232"/>
      <c r="C28" s="233"/>
      <c r="D28" s="234"/>
      <c r="E28" s="235"/>
      <c r="F28" s="48"/>
      <c r="G28" s="105"/>
      <c r="H28" s="75"/>
      <c r="I28" s="68"/>
      <c r="L28" s="46"/>
    </row>
    <row r="29" spans="1:12" s="47" customFormat="1" x14ac:dyDescent="0.3">
      <c r="A29" s="267"/>
      <c r="B29" s="230"/>
      <c r="C29" s="231"/>
      <c r="D29" s="228"/>
      <c r="E29" s="229"/>
      <c r="F29" s="48"/>
      <c r="G29" s="105"/>
      <c r="H29" s="75"/>
      <c r="I29" s="68"/>
      <c r="L29" s="46"/>
    </row>
    <row r="30" spans="1:12" s="47" customFormat="1" x14ac:dyDescent="0.3">
      <c r="A30" s="267"/>
      <c r="B30" s="230"/>
      <c r="C30" s="231"/>
      <c r="D30" s="228"/>
      <c r="E30" s="229"/>
      <c r="F30" s="48"/>
      <c r="G30" s="105"/>
      <c r="H30" s="75"/>
      <c r="I30" s="68"/>
      <c r="L30" s="46"/>
    </row>
    <row r="31" spans="1:12" x14ac:dyDescent="0.3">
      <c r="A31" s="267"/>
      <c r="B31" s="230"/>
      <c r="C31" s="231"/>
      <c r="D31" s="228"/>
      <c r="E31" s="229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'14'!E37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'14'!E39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'14'!E40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12" ht="15.6" thickTop="1" thickBot="1" x14ac:dyDescent="0.35"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12" ht="15" thickTop="1" x14ac:dyDescent="0.3">
      <c r="A71" s="159" t="s">
        <v>95</v>
      </c>
      <c r="B71" s="82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120</v>
      </c>
      <c r="B74" s="147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G75" s="105"/>
      <c r="H75" s="75"/>
      <c r="I75" s="68"/>
    </row>
    <row r="76" spans="1:12" ht="28.8" x14ac:dyDescent="0.3">
      <c r="A76" s="88" t="s">
        <v>28</v>
      </c>
      <c r="B76" s="64"/>
      <c r="G76" s="105"/>
      <c r="H76" s="75"/>
      <c r="I76" s="68"/>
    </row>
    <row r="77" spans="1:12" ht="28.8" x14ac:dyDescent="0.3">
      <c r="A77" s="63" t="s">
        <v>29</v>
      </c>
      <c r="B77" s="64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12" x14ac:dyDescent="0.3">
      <c r="A79" s="83" t="s">
        <v>98</v>
      </c>
      <c r="B79" s="64"/>
      <c r="G79" s="105"/>
      <c r="H79" s="78"/>
      <c r="I79" s="79"/>
    </row>
    <row r="80" spans="1:12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</row>
    <row r="84" spans="1:9" ht="15.6" thickTop="1" thickBot="1" x14ac:dyDescent="0.35">
      <c r="A84" s="303"/>
      <c r="B84" s="304"/>
      <c r="C84" s="304"/>
      <c r="D84" s="304"/>
      <c r="E84" s="305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</row>
    <row r="86" spans="1:9" ht="15.6" thickTop="1" thickBot="1" x14ac:dyDescent="0.35">
      <c r="A86" s="303"/>
      <c r="B86" s="304"/>
      <c r="C86" s="304"/>
      <c r="D86" s="304"/>
      <c r="E86" s="305"/>
    </row>
    <row r="87" spans="1:9" ht="15.6" thickTop="1" thickBot="1" x14ac:dyDescent="0.35">
      <c r="A87" s="303"/>
      <c r="B87" s="304"/>
      <c r="C87" s="304"/>
      <c r="D87" s="304"/>
      <c r="E87" s="305"/>
    </row>
    <row r="88" spans="1:9" ht="15.6" thickTop="1" thickBot="1" x14ac:dyDescent="0.35">
      <c r="A88" s="303"/>
      <c r="B88" s="304"/>
      <c r="C88" s="304"/>
      <c r="D88" s="304"/>
      <c r="E88" s="305"/>
    </row>
    <row r="89" spans="1:9" ht="15.6" thickTop="1" thickBot="1" x14ac:dyDescent="0.35">
      <c r="A89" s="303"/>
      <c r="B89" s="304"/>
      <c r="C89" s="304"/>
      <c r="D89" s="304"/>
      <c r="E89" s="305"/>
    </row>
    <row r="90" spans="1:9" ht="15.6" thickTop="1" thickBot="1" x14ac:dyDescent="0.35">
      <c r="A90" s="303"/>
      <c r="B90" s="304"/>
      <c r="C90" s="304"/>
      <c r="D90" s="304"/>
      <c r="E90" s="305"/>
    </row>
    <row r="91" spans="1:9" ht="15" thickTop="1" x14ac:dyDescent="0.3"/>
    <row r="93" spans="1:9" x14ac:dyDescent="0.3">
      <c r="A93" s="48" t="s">
        <v>14</v>
      </c>
      <c r="B93" s="48" t="s">
        <v>103</v>
      </c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C59:D59"/>
    <mergeCell ref="C48:D48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A12:B12"/>
    <mergeCell ref="D13:E13"/>
    <mergeCell ref="D26:E26"/>
    <mergeCell ref="B27:C27"/>
    <mergeCell ref="D27:E27"/>
    <mergeCell ref="B28:C28"/>
    <mergeCell ref="D28:E28"/>
    <mergeCell ref="B26:C26"/>
    <mergeCell ref="C50:D50"/>
    <mergeCell ref="C51:D51"/>
    <mergeCell ref="C52:D52"/>
    <mergeCell ref="B29:C29"/>
    <mergeCell ref="D29:E29"/>
    <mergeCell ref="B30:C30"/>
    <mergeCell ref="D30:E30"/>
    <mergeCell ref="A41:D41"/>
    <mergeCell ref="C58:D58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C53:D53"/>
    <mergeCell ref="C54:D54"/>
    <mergeCell ref="C55:D55"/>
    <mergeCell ref="C56:D56"/>
    <mergeCell ref="C57:D57"/>
    <mergeCell ref="C49:D49"/>
    <mergeCell ref="B21:C21"/>
    <mergeCell ref="D21:E21"/>
    <mergeCell ref="B22:C22"/>
    <mergeCell ref="D22:E22"/>
    <mergeCell ref="B23:C23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3:E23"/>
    <mergeCell ref="B24:C24"/>
    <mergeCell ref="D24:E24"/>
    <mergeCell ref="B25:C25"/>
    <mergeCell ref="D25:E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3"/>
  <sheetViews>
    <sheetView workbookViewId="0">
      <pane xSplit="2" ySplit="2" topLeftCell="C78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5.44140625" style="50" customWidth="1"/>
    <col min="6" max="6" width="8.77734375" style="48"/>
    <col min="7" max="7" width="28.44140625" style="48" customWidth="1"/>
    <col min="8" max="8" width="36.44140625" style="48" customWidth="1"/>
    <col min="9" max="9" width="16.44140625" style="50" customWidth="1"/>
    <col min="11" max="11" width="8.77734375" customWidth="1"/>
    <col min="12" max="12" width="11" style="3" hidden="1" customWidth="1"/>
  </cols>
  <sheetData>
    <row r="1" spans="1:12" ht="18" thickBot="1" x14ac:dyDescent="0.5">
      <c r="A1" s="45">
        <f>'15'!A1+1</f>
        <v>46189</v>
      </c>
      <c r="B1" s="221" t="str">
        <f>'[8]1'!B1:E1</f>
        <v>DADA SALON GÜN SONU RAPORU</v>
      </c>
      <c r="C1" s="221"/>
      <c r="D1" s="221"/>
      <c r="E1" s="221"/>
      <c r="F1" s="44"/>
      <c r="G1" s="44"/>
      <c r="H1" s="44"/>
      <c r="J1" s="1"/>
    </row>
    <row r="2" spans="1:12" ht="31.8" thickTop="1" thickBot="1" x14ac:dyDescent="0.5">
      <c r="C2" s="277" t="s">
        <v>17</v>
      </c>
      <c r="D2" s="277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12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L21" s="46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L22" s="46"/>
    </row>
    <row r="23" spans="1:12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L23" s="46"/>
    </row>
    <row r="24" spans="1:12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46"/>
    </row>
    <row r="25" spans="1:12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x14ac:dyDescent="0.3">
      <c r="A26" s="267"/>
      <c r="B26" s="287"/>
      <c r="C26" s="288"/>
      <c r="D26" s="273"/>
      <c r="E26" s="274"/>
      <c r="G26" s="118"/>
      <c r="H26" s="52"/>
      <c r="I26" s="73"/>
    </row>
    <row r="27" spans="1:12" ht="14.4" customHeight="1" x14ac:dyDescent="0.3">
      <c r="A27" s="267"/>
      <c r="B27" s="271"/>
      <c r="C27" s="272"/>
      <c r="D27" s="273"/>
      <c r="E27" s="274"/>
      <c r="G27" s="105"/>
      <c r="H27" s="75"/>
      <c r="I27" s="68"/>
    </row>
    <row r="28" spans="1:12" ht="14.4" customHeight="1" x14ac:dyDescent="0.3">
      <c r="A28" s="267"/>
      <c r="B28" s="245"/>
      <c r="C28" s="246"/>
      <c r="D28" s="237"/>
      <c r="E28" s="238"/>
      <c r="G28" s="105"/>
      <c r="H28" s="75"/>
      <c r="I28" s="68"/>
    </row>
    <row r="29" spans="1:12" ht="14.4" customHeight="1" x14ac:dyDescent="0.3">
      <c r="A29" s="267"/>
      <c r="B29" s="271"/>
      <c r="C29" s="272"/>
      <c r="D29" s="273"/>
      <c r="E29" s="274"/>
      <c r="G29" s="105"/>
      <c r="H29" s="75"/>
      <c r="I29" s="68"/>
    </row>
    <row r="30" spans="1:12" x14ac:dyDescent="0.3">
      <c r="A30" s="267"/>
      <c r="B30" s="310"/>
      <c r="C30" s="311"/>
      <c r="D30" s="273"/>
      <c r="E30" s="274"/>
      <c r="G30" s="105"/>
      <c r="H30" s="75"/>
      <c r="I30" s="68"/>
    </row>
    <row r="31" spans="1:12" x14ac:dyDescent="0.3">
      <c r="A31" s="267"/>
      <c r="B31" s="271"/>
      <c r="C31" s="272"/>
      <c r="D31" s="273"/>
      <c r="E31" s="274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'15'!E37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'15'!E39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'15'!E40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12" ht="15.6" thickTop="1" thickBot="1" x14ac:dyDescent="0.35"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12" ht="15" thickTop="1" x14ac:dyDescent="0.3">
      <c r="A71" s="159" t="s">
        <v>95</v>
      </c>
      <c r="B71" s="82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123</v>
      </c>
      <c r="B74" s="147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G75" s="105"/>
      <c r="H75" s="75"/>
      <c r="I75" s="68"/>
    </row>
    <row r="76" spans="1:12" ht="28.8" x14ac:dyDescent="0.3">
      <c r="A76" s="88" t="s">
        <v>28</v>
      </c>
      <c r="B76" s="64"/>
      <c r="G76" s="105"/>
      <c r="H76" s="75"/>
      <c r="I76" s="68"/>
    </row>
    <row r="77" spans="1:12" ht="28.8" x14ac:dyDescent="0.3">
      <c r="A77" s="63" t="s">
        <v>29</v>
      </c>
      <c r="B77" s="64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12" x14ac:dyDescent="0.3">
      <c r="A79" s="83" t="s">
        <v>98</v>
      </c>
      <c r="B79" s="64"/>
      <c r="G79" s="105"/>
      <c r="H79" s="78"/>
      <c r="I79" s="79"/>
    </row>
    <row r="80" spans="1:12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</row>
    <row r="84" spans="1:9" ht="15.6" thickTop="1" thickBot="1" x14ac:dyDescent="0.35">
      <c r="A84" s="303"/>
      <c r="B84" s="304"/>
      <c r="C84" s="304"/>
      <c r="D84" s="304"/>
      <c r="E84" s="305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</row>
    <row r="86" spans="1:9" ht="15.6" thickTop="1" thickBot="1" x14ac:dyDescent="0.35">
      <c r="A86" s="303"/>
      <c r="B86" s="304"/>
      <c r="C86" s="304"/>
      <c r="D86" s="304"/>
      <c r="E86" s="305"/>
    </row>
    <row r="87" spans="1:9" ht="15.6" thickTop="1" thickBot="1" x14ac:dyDescent="0.35">
      <c r="A87" s="303"/>
      <c r="B87" s="304"/>
      <c r="C87" s="304"/>
      <c r="D87" s="304"/>
      <c r="E87" s="305"/>
    </row>
    <row r="88" spans="1:9" ht="15.6" thickTop="1" thickBot="1" x14ac:dyDescent="0.35">
      <c r="A88" s="303"/>
      <c r="B88" s="304"/>
      <c r="C88" s="304"/>
      <c r="D88" s="304"/>
      <c r="E88" s="305"/>
    </row>
    <row r="89" spans="1:9" ht="15.6" thickTop="1" thickBot="1" x14ac:dyDescent="0.35">
      <c r="A89" s="303"/>
      <c r="B89" s="304"/>
      <c r="C89" s="304"/>
      <c r="D89" s="304"/>
      <c r="E89" s="305"/>
    </row>
    <row r="90" spans="1:9" ht="15.6" thickTop="1" thickBot="1" x14ac:dyDescent="0.35">
      <c r="A90" s="303"/>
      <c r="B90" s="304"/>
      <c r="C90" s="304"/>
      <c r="D90" s="304"/>
      <c r="E90" s="305"/>
    </row>
    <row r="91" spans="1:9" ht="15" thickTop="1" x14ac:dyDescent="0.3"/>
    <row r="93" spans="1:9" x14ac:dyDescent="0.3">
      <c r="A93" s="48" t="s">
        <v>14</v>
      </c>
      <c r="B93" s="48" t="s">
        <v>103</v>
      </c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D13:E13"/>
    <mergeCell ref="A12:B12"/>
    <mergeCell ref="C59:D59"/>
    <mergeCell ref="C48:D48"/>
    <mergeCell ref="C55:D55"/>
    <mergeCell ref="C56:D56"/>
    <mergeCell ref="C57:D57"/>
    <mergeCell ref="C49:D49"/>
    <mergeCell ref="C50:D50"/>
    <mergeCell ref="C51:D51"/>
    <mergeCell ref="C52:D52"/>
    <mergeCell ref="B21:C21"/>
    <mergeCell ref="D21:E21"/>
    <mergeCell ref="B22:C22"/>
    <mergeCell ref="D22:E22"/>
    <mergeCell ref="D26:E26"/>
    <mergeCell ref="B23:C23"/>
    <mergeCell ref="D23:E23"/>
    <mergeCell ref="B24:C24"/>
    <mergeCell ref="D24:E24"/>
    <mergeCell ref="B25:C25"/>
    <mergeCell ref="D25:E25"/>
    <mergeCell ref="B26:C26"/>
    <mergeCell ref="B27:C27"/>
    <mergeCell ref="D27:E27"/>
    <mergeCell ref="B28:C28"/>
    <mergeCell ref="C58:D58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C53:D53"/>
    <mergeCell ref="C54:D54"/>
    <mergeCell ref="A41:D4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8:E28"/>
    <mergeCell ref="B29:C29"/>
    <mergeCell ref="D29:E29"/>
    <mergeCell ref="B30:C30"/>
    <mergeCell ref="D30:E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C3" sqref="C3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6.44140625" style="3" bestFit="1" customWidth="1"/>
    <col min="6" max="6" width="12.33203125" bestFit="1" customWidth="1"/>
    <col min="7" max="7" width="27.886718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4" ht="18" thickBot="1" x14ac:dyDescent="0.5">
      <c r="A1" s="45">
        <f>'16'!A1+1</f>
        <v>46190</v>
      </c>
      <c r="B1" s="221" t="str">
        <f>'[9]1'!B1:E1</f>
        <v>DADA SALON KABARETT GÜN SONU RAPORU</v>
      </c>
      <c r="C1" s="221"/>
      <c r="D1" s="221"/>
      <c r="E1" s="221"/>
      <c r="F1" s="44"/>
      <c r="G1" s="44"/>
      <c r="H1" s="44"/>
      <c r="I1" s="50"/>
      <c r="J1" s="44"/>
      <c r="K1" s="48"/>
      <c r="L1" s="50"/>
      <c r="M1" s="48"/>
      <c r="N1" s="48"/>
    </row>
    <row r="2" spans="1:14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  <c r="K2" s="48"/>
      <c r="L2" s="50"/>
      <c r="M2" s="48"/>
      <c r="N2" s="48"/>
    </row>
    <row r="3" spans="1:14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K3" s="48"/>
      <c r="L3" s="50" t="s">
        <v>18</v>
      </c>
      <c r="M3" s="48"/>
      <c r="N3" s="48"/>
    </row>
    <row r="4" spans="1:14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  <c r="K4" s="48"/>
      <c r="L4" s="50"/>
      <c r="M4" s="48"/>
      <c r="N4" s="48"/>
    </row>
    <row r="5" spans="1:14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4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4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K7" s="48"/>
      <c r="L7" s="50">
        <v>150</v>
      </c>
      <c r="M7" s="48"/>
      <c r="N7" s="48"/>
    </row>
    <row r="8" spans="1:14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  <c r="K8" s="48"/>
      <c r="L8" s="50"/>
      <c r="M8" s="48"/>
      <c r="N8" s="48"/>
    </row>
    <row r="9" spans="1:14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4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4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  <c r="K11" s="48"/>
      <c r="L11" s="50"/>
      <c r="M11" s="48"/>
      <c r="N11" s="48"/>
    </row>
    <row r="12" spans="1:14" ht="18.600000000000001" thickTop="1" thickBot="1" x14ac:dyDescent="0.5">
      <c r="A12" s="253" t="s">
        <v>32</v>
      </c>
      <c r="B12" s="254"/>
      <c r="C12" s="120">
        <f>C3-C11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  <c r="K12" s="48"/>
      <c r="L12" s="50"/>
      <c r="M12" s="48"/>
      <c r="N12" s="48"/>
    </row>
    <row r="13" spans="1:14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  <c r="K13" s="48"/>
      <c r="L13" s="50"/>
      <c r="M13" s="48"/>
      <c r="N13" s="48"/>
    </row>
    <row r="14" spans="1:14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  <c r="K14" s="48"/>
      <c r="L14" s="50"/>
      <c r="M14" s="48"/>
      <c r="N14" s="48"/>
    </row>
    <row r="15" spans="1:14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  <c r="K15" s="48"/>
      <c r="L15" s="50"/>
      <c r="M15" s="48"/>
      <c r="N15" s="48"/>
    </row>
    <row r="16" spans="1:14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  <c r="K16" s="48"/>
      <c r="L16" s="50"/>
      <c r="M16" s="48"/>
      <c r="N16" s="48"/>
    </row>
    <row r="17" spans="1:14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  <c r="K17" s="48"/>
      <c r="L17" s="50"/>
      <c r="M17" s="48"/>
      <c r="N17" s="48"/>
    </row>
    <row r="18" spans="1:14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  <c r="K18" s="48"/>
      <c r="L18" s="50"/>
      <c r="M18" s="48"/>
      <c r="N18" s="48"/>
    </row>
    <row r="19" spans="1:14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  <c r="K19" s="48"/>
      <c r="L19" s="50"/>
      <c r="M19" s="48"/>
      <c r="N19" s="48"/>
    </row>
    <row r="20" spans="1:14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  <c r="K20" s="48"/>
      <c r="L20" s="50"/>
      <c r="M20" s="48"/>
      <c r="N20" s="48"/>
    </row>
    <row r="21" spans="1:14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  <c r="K21" s="48"/>
      <c r="L21" s="50"/>
      <c r="M21" s="48"/>
      <c r="N21" s="48"/>
    </row>
    <row r="22" spans="1:14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  <c r="K22" s="48"/>
      <c r="L22" s="50"/>
      <c r="M22" s="48"/>
      <c r="N22" s="48"/>
    </row>
    <row r="23" spans="1:14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  <c r="K23" s="48"/>
      <c r="L23" s="50"/>
      <c r="M23" s="48"/>
      <c r="N23" s="48"/>
    </row>
    <row r="24" spans="1:14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  <c r="K24" s="48"/>
      <c r="L24" s="50"/>
      <c r="M24" s="48"/>
      <c r="N24" s="48"/>
    </row>
    <row r="25" spans="1:14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  <c r="K25" s="48"/>
      <c r="L25" s="50"/>
      <c r="M25" s="48"/>
      <c r="N25" s="48"/>
    </row>
    <row r="26" spans="1:14" ht="14.4" customHeight="1" x14ac:dyDescent="0.3">
      <c r="A26" s="267"/>
      <c r="B26" s="287"/>
      <c r="C26" s="288"/>
      <c r="D26" s="273"/>
      <c r="E26" s="274"/>
      <c r="F26" s="48"/>
      <c r="G26" s="118"/>
      <c r="H26" s="52"/>
      <c r="I26" s="73"/>
      <c r="J26" s="48"/>
      <c r="K26" s="48"/>
      <c r="L26" s="50"/>
      <c r="M26" s="48"/>
      <c r="N26" s="48"/>
    </row>
    <row r="27" spans="1:14" s="47" customFormat="1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  <c r="K27" s="48"/>
      <c r="L27" s="50"/>
      <c r="M27" s="48"/>
      <c r="N27" s="48"/>
    </row>
    <row r="28" spans="1:14" s="47" customFormat="1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  <c r="K28" s="48"/>
      <c r="L28" s="50"/>
      <c r="M28" s="48"/>
      <c r="N28" s="48"/>
    </row>
    <row r="29" spans="1:14" s="47" customFormat="1" ht="14.4" customHeight="1" x14ac:dyDescent="0.3">
      <c r="A29" s="267"/>
      <c r="B29" s="230"/>
      <c r="C29" s="231"/>
      <c r="D29" s="228"/>
      <c r="E29" s="229"/>
      <c r="F29" s="48"/>
      <c r="G29" s="105"/>
      <c r="H29" s="75"/>
      <c r="I29" s="68"/>
      <c r="J29" s="48"/>
      <c r="K29" s="48"/>
      <c r="L29" s="50"/>
      <c r="M29" s="48"/>
      <c r="N29" s="48"/>
    </row>
    <row r="30" spans="1:14" s="47" customFormat="1" x14ac:dyDescent="0.3">
      <c r="A30" s="267"/>
      <c r="B30" s="230"/>
      <c r="C30" s="231"/>
      <c r="D30" s="228"/>
      <c r="E30" s="229"/>
      <c r="F30" s="48"/>
      <c r="G30" s="105"/>
      <c r="H30" s="75"/>
      <c r="I30" s="68"/>
      <c r="J30" s="48"/>
      <c r="K30" s="48"/>
      <c r="L30" s="50"/>
      <c r="M30" s="48"/>
      <c r="N30" s="48"/>
    </row>
    <row r="31" spans="1:14" s="47" customFormat="1" x14ac:dyDescent="0.3">
      <c r="A31" s="267"/>
      <c r="B31" s="230"/>
      <c r="C31" s="231"/>
      <c r="D31" s="228"/>
      <c r="E31" s="229"/>
      <c r="F31" s="48"/>
      <c r="G31" s="105"/>
      <c r="H31" s="75"/>
      <c r="I31" s="68"/>
      <c r="J31" s="48"/>
      <c r="K31" s="48"/>
      <c r="L31" s="50"/>
      <c r="M31" s="48"/>
      <c r="N31" s="48"/>
    </row>
    <row r="32" spans="1:14" x14ac:dyDescent="0.3">
      <c r="A32" s="267"/>
      <c r="B32" s="230"/>
      <c r="C32" s="231"/>
      <c r="D32" s="228"/>
      <c r="E32" s="229"/>
      <c r="F32" s="48"/>
      <c r="G32" s="105"/>
      <c r="H32" s="75"/>
      <c r="I32" s="68"/>
      <c r="J32" s="48"/>
      <c r="K32" s="48"/>
      <c r="L32" s="50"/>
      <c r="M32" s="48"/>
      <c r="N32" s="48"/>
    </row>
    <row r="33" spans="1:14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9"/>
      <c r="K33" s="49"/>
      <c r="L33" s="6"/>
      <c r="M33" s="49"/>
      <c r="N33" s="49"/>
    </row>
    <row r="34" spans="1:14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  <c r="K34" s="48"/>
      <c r="L34" s="50"/>
      <c r="M34" s="48"/>
      <c r="N34" s="48"/>
    </row>
    <row r="35" spans="1:14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4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4" s="48" customFormat="1" ht="18.600000000000001" thickTop="1" thickBot="1" x14ac:dyDescent="0.5">
      <c r="A37" s="127">
        <f>'16'!E37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4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4" s="48" customFormat="1" ht="18.600000000000001" thickTop="1" thickBot="1" x14ac:dyDescent="0.35">
      <c r="A39" s="59" t="s">
        <v>73</v>
      </c>
      <c r="B39" s="116">
        <f>'16'!E39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4" s="2" customFormat="1" ht="18.600000000000001" thickTop="1" thickBot="1" x14ac:dyDescent="0.35">
      <c r="A40" s="59" t="s">
        <v>111</v>
      </c>
      <c r="B40" s="116">
        <f>'16'!E40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9"/>
      <c r="K40" s="49"/>
      <c r="L40" s="6"/>
      <c r="M40" s="49"/>
      <c r="N40" s="49"/>
    </row>
    <row r="41" spans="1:14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  <c r="K41" s="48"/>
      <c r="L41" s="50"/>
      <c r="M41" s="48"/>
      <c r="N41" s="48"/>
    </row>
    <row r="42" spans="1:14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  <c r="K42" s="48"/>
      <c r="L42" s="50"/>
      <c r="M42" s="48"/>
      <c r="N42" s="48"/>
    </row>
    <row r="43" spans="1:14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  <c r="K43" s="48"/>
      <c r="L43" s="50"/>
      <c r="M43" s="48"/>
      <c r="N43" s="48"/>
    </row>
    <row r="44" spans="1:14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  <c r="K44" s="48"/>
      <c r="L44" s="50"/>
      <c r="M44" s="48"/>
      <c r="N44" s="48"/>
    </row>
    <row r="45" spans="1:14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  <c r="K45" s="48"/>
      <c r="L45" s="50"/>
      <c r="M45" s="48"/>
      <c r="N45" s="48"/>
    </row>
    <row r="46" spans="1:14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  <c r="K46" s="48"/>
      <c r="L46" s="50"/>
      <c r="M46" s="48"/>
      <c r="N46" s="48"/>
    </row>
    <row r="47" spans="1:14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  <c r="K47" s="48"/>
      <c r="L47" s="50"/>
      <c r="M47" s="48"/>
      <c r="N47" s="48"/>
    </row>
    <row r="48" spans="1:14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  <c r="K48" s="48"/>
      <c r="L48" s="50"/>
      <c r="M48" s="48"/>
      <c r="N48" s="48"/>
    </row>
    <row r="49" spans="1:14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  <c r="K49" s="48"/>
      <c r="L49" s="50"/>
      <c r="M49" s="48"/>
      <c r="N49" s="48"/>
    </row>
    <row r="50" spans="1:14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  <c r="K50" s="48"/>
      <c r="L50" s="50"/>
      <c r="M50" s="48"/>
      <c r="N50" s="48"/>
    </row>
    <row r="51" spans="1:14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  <c r="K51" s="48"/>
      <c r="L51" s="50"/>
      <c r="M51" s="48"/>
      <c r="N51" s="48"/>
    </row>
    <row r="52" spans="1:14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  <c r="K52" s="48"/>
      <c r="L52" s="50"/>
      <c r="M52" s="48"/>
      <c r="N52" s="48"/>
    </row>
    <row r="53" spans="1:14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  <c r="K53" s="48"/>
      <c r="L53" s="50"/>
      <c r="M53" s="48"/>
      <c r="N53" s="48"/>
    </row>
    <row r="54" spans="1:14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  <c r="K54" s="48"/>
      <c r="L54" s="50"/>
      <c r="M54" s="48"/>
      <c r="N54" s="48"/>
    </row>
    <row r="55" spans="1:14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  <c r="K55" s="48"/>
      <c r="L55" s="50"/>
      <c r="M55" s="48"/>
      <c r="N55" s="48"/>
    </row>
    <row r="56" spans="1:14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  <c r="K56" s="48"/>
      <c r="L56" s="50"/>
      <c r="M56" s="48"/>
      <c r="N56" s="48"/>
    </row>
    <row r="57" spans="1:14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  <c r="K57" s="48"/>
      <c r="L57" s="50"/>
      <c r="M57" s="48"/>
      <c r="N57" s="48"/>
    </row>
    <row r="58" spans="1:14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  <c r="K58" s="48"/>
      <c r="L58" s="50"/>
      <c r="M58" s="48"/>
      <c r="N58" s="48"/>
    </row>
    <row r="59" spans="1:14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  <c r="K59" s="48"/>
      <c r="L59" s="50"/>
      <c r="M59" s="48"/>
      <c r="N59" s="48"/>
    </row>
    <row r="60" spans="1:14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  <c r="K60" s="48"/>
      <c r="L60" s="50"/>
      <c r="M60" s="48"/>
      <c r="N60" s="48"/>
    </row>
    <row r="61" spans="1:14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  <c r="K61" s="48"/>
      <c r="L61" s="50"/>
      <c r="M61" s="48"/>
      <c r="N61" s="48"/>
    </row>
    <row r="62" spans="1:14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  <c r="K62" s="48"/>
      <c r="L62" s="50"/>
      <c r="M62" s="48"/>
      <c r="N62" s="48"/>
    </row>
    <row r="63" spans="1:14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  <c r="K63" s="48"/>
      <c r="L63" s="50"/>
      <c r="M63" s="48"/>
      <c r="N63" s="48"/>
    </row>
    <row r="64" spans="1:14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  <c r="K64" s="48"/>
      <c r="L64" s="50"/>
      <c r="M64" s="48"/>
      <c r="N64" s="48"/>
    </row>
    <row r="65" spans="1:14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  <c r="K65" s="48"/>
      <c r="L65" s="50"/>
      <c r="M65" s="48"/>
      <c r="N65" s="48"/>
    </row>
    <row r="66" spans="1:14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  <c r="K66" s="48"/>
      <c r="L66" s="50"/>
      <c r="M66" s="48"/>
      <c r="N66" s="48"/>
    </row>
    <row r="67" spans="1:14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  <c r="K67" s="48"/>
      <c r="L67" s="50"/>
      <c r="M67" s="48"/>
      <c r="N67" s="48"/>
    </row>
    <row r="68" spans="1:14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  <c r="K68" s="48"/>
      <c r="L68" s="50"/>
      <c r="M68" s="48"/>
      <c r="N68" s="48"/>
    </row>
    <row r="69" spans="1:14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  <c r="K69" s="48"/>
      <c r="L69" s="50"/>
      <c r="M69" s="48"/>
      <c r="N69" s="48"/>
    </row>
    <row r="70" spans="1:14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  <c r="K70" s="48"/>
      <c r="L70" s="50"/>
      <c r="M70" s="48"/>
      <c r="N70" s="48"/>
    </row>
    <row r="71" spans="1:14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  <c r="K71" s="48"/>
      <c r="L71" s="50"/>
      <c r="M71" s="48"/>
      <c r="N71" s="48"/>
    </row>
    <row r="72" spans="1:14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4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4" ht="72.599999999999994" thickTop="1" x14ac:dyDescent="0.3">
      <c r="A74" s="87" t="s">
        <v>124</v>
      </c>
      <c r="B74" s="147"/>
      <c r="C74" s="48"/>
      <c r="D74" s="50"/>
      <c r="E74" s="50"/>
      <c r="F74" s="48"/>
      <c r="G74" s="105"/>
      <c r="H74" s="75"/>
      <c r="I74" s="68"/>
      <c r="J74" s="48"/>
      <c r="K74" s="48"/>
      <c r="L74" s="50"/>
      <c r="M74" s="48"/>
      <c r="N74" s="48"/>
    </row>
    <row r="75" spans="1:14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  <c r="K75" s="48"/>
      <c r="L75" s="50"/>
      <c r="M75" s="48"/>
      <c r="N75" s="48"/>
    </row>
    <row r="76" spans="1:14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  <c r="K76" s="48"/>
      <c r="L76" s="50"/>
      <c r="M76" s="48"/>
      <c r="N76" s="48"/>
    </row>
    <row r="77" spans="1:14" ht="28.8" x14ac:dyDescent="0.3">
      <c r="A77" s="63" t="s">
        <v>29</v>
      </c>
      <c r="B77" s="64"/>
      <c r="C77" s="50" t="e">
        <f>B77/C3</f>
        <v>#DIV/0!</v>
      </c>
      <c r="D77" s="50"/>
      <c r="E77" s="50"/>
      <c r="F77" s="48"/>
      <c r="G77" s="105"/>
      <c r="H77" s="75"/>
      <c r="I77" s="68"/>
      <c r="J77" s="48"/>
      <c r="K77" s="48"/>
      <c r="L77" s="50"/>
      <c r="M77" s="48"/>
      <c r="N77" s="48"/>
    </row>
    <row r="78" spans="1:14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  <c r="K78" s="48"/>
      <c r="L78" s="50"/>
      <c r="M78" s="48"/>
      <c r="N78" s="48"/>
    </row>
    <row r="79" spans="1:14" x14ac:dyDescent="0.3">
      <c r="A79" s="83" t="s">
        <v>98</v>
      </c>
      <c r="B79" s="64"/>
      <c r="C79" s="48"/>
      <c r="D79" s="50"/>
      <c r="E79" s="50"/>
      <c r="F79" s="48"/>
      <c r="G79" s="105"/>
      <c r="H79" s="78"/>
      <c r="I79" s="79"/>
      <c r="J79" s="48"/>
      <c r="K79" s="48"/>
      <c r="L79" s="50"/>
      <c r="M79" s="48"/>
      <c r="N79" s="48"/>
    </row>
    <row r="80" spans="1:14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  <c r="K80" s="48"/>
      <c r="L80" s="50"/>
      <c r="M80" s="48"/>
      <c r="N80" s="48"/>
    </row>
    <row r="81" spans="1:14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  <c r="K81" s="48"/>
      <c r="L81" s="50"/>
      <c r="M81" s="48"/>
      <c r="N81" s="48"/>
    </row>
    <row r="82" spans="1:14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  <c r="K82" s="48"/>
      <c r="L82" s="50"/>
      <c r="M82" s="48"/>
      <c r="N82" s="48"/>
    </row>
    <row r="83" spans="1:14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  <c r="K83" s="48"/>
      <c r="L83" s="50"/>
      <c r="M83" s="48"/>
      <c r="N83" s="48"/>
    </row>
    <row r="84" spans="1:14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  <c r="J84" s="48"/>
      <c r="K84" s="48"/>
      <c r="L84" s="50"/>
      <c r="M84" s="48"/>
      <c r="N84" s="48"/>
    </row>
    <row r="85" spans="1:14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  <c r="J85" s="48"/>
      <c r="K85" s="48"/>
      <c r="L85" s="50"/>
      <c r="M85" s="48"/>
      <c r="N85" s="48"/>
    </row>
    <row r="86" spans="1:14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  <c r="J86" s="48"/>
      <c r="K86" s="48"/>
      <c r="L86" s="50"/>
      <c r="M86" s="48"/>
      <c r="N86" s="48"/>
    </row>
    <row r="87" spans="1:14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  <c r="J87" s="48"/>
      <c r="K87" s="48"/>
      <c r="L87" s="50"/>
      <c r="M87" s="48"/>
      <c r="N87" s="48"/>
    </row>
    <row r="88" spans="1:14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  <c r="J88" s="48"/>
      <c r="K88" s="48"/>
      <c r="L88" s="50"/>
      <c r="M88" s="48"/>
      <c r="N88" s="48"/>
    </row>
    <row r="89" spans="1:14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  <c r="J89" s="48"/>
      <c r="K89" s="48"/>
      <c r="L89" s="50"/>
      <c r="M89" s="48"/>
      <c r="N89" s="48"/>
    </row>
    <row r="90" spans="1:14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  <c r="J90" s="48"/>
      <c r="K90" s="48"/>
      <c r="L90" s="50"/>
      <c r="M90" s="48"/>
      <c r="N90" s="48"/>
    </row>
    <row r="91" spans="1:14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  <c r="K91" s="48"/>
      <c r="L91" s="50"/>
      <c r="M91" s="48"/>
      <c r="N91" s="48"/>
    </row>
    <row r="92" spans="1:14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  <c r="K92" s="48"/>
      <c r="L92" s="50"/>
      <c r="M92" s="48"/>
      <c r="N92" s="48"/>
    </row>
    <row r="93" spans="1:14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9:B9"/>
    <mergeCell ref="D9:E9"/>
    <mergeCell ref="D33:E33"/>
    <mergeCell ref="C67:D67"/>
    <mergeCell ref="C66:D66"/>
    <mergeCell ref="C60:D60"/>
    <mergeCell ref="C61:D61"/>
    <mergeCell ref="C62:D62"/>
    <mergeCell ref="C63:D63"/>
    <mergeCell ref="C64:D64"/>
    <mergeCell ref="C65:D65"/>
    <mergeCell ref="C59:D59"/>
    <mergeCell ref="C48:D48"/>
    <mergeCell ref="A11:B11"/>
    <mergeCell ref="A16:C16"/>
    <mergeCell ref="D16:E16"/>
    <mergeCell ref="D15:E15"/>
    <mergeCell ref="D11:E11"/>
    <mergeCell ref="A14:C14"/>
    <mergeCell ref="D14:E14"/>
    <mergeCell ref="A15:C15"/>
    <mergeCell ref="D12:E12"/>
    <mergeCell ref="A13:C13"/>
    <mergeCell ref="A12:B12"/>
    <mergeCell ref="D13:E13"/>
    <mergeCell ref="C58:D5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D26:E26"/>
    <mergeCell ref="B27:C27"/>
    <mergeCell ref="D27:E27"/>
    <mergeCell ref="B28:C28"/>
    <mergeCell ref="D28:E28"/>
    <mergeCell ref="B26:C26"/>
    <mergeCell ref="B29:C29"/>
    <mergeCell ref="D29:E29"/>
    <mergeCell ref="C47:D47"/>
    <mergeCell ref="D32:E32"/>
    <mergeCell ref="C42:D42"/>
    <mergeCell ref="C43:D43"/>
    <mergeCell ref="C44:D44"/>
    <mergeCell ref="C45:D45"/>
    <mergeCell ref="C46:D46"/>
    <mergeCell ref="A41:D41"/>
    <mergeCell ref="B30:C30"/>
    <mergeCell ref="D30:E30"/>
    <mergeCell ref="B31:C31"/>
    <mergeCell ref="D31:E31"/>
    <mergeCell ref="B1:E1"/>
    <mergeCell ref="C2:D2"/>
    <mergeCell ref="D7:E7"/>
    <mergeCell ref="A8:B8"/>
    <mergeCell ref="D8:E8"/>
    <mergeCell ref="A3:B3"/>
    <mergeCell ref="A7:B7"/>
    <mergeCell ref="A4:B4"/>
    <mergeCell ref="D4:E4"/>
    <mergeCell ref="A5:B5"/>
    <mergeCell ref="D5:E5"/>
    <mergeCell ref="A6:B6"/>
    <mergeCell ref="D6:E6"/>
    <mergeCell ref="B21:C21"/>
    <mergeCell ref="D21:E21"/>
    <mergeCell ref="B22:C22"/>
    <mergeCell ref="D22:E22"/>
    <mergeCell ref="B23:C23"/>
    <mergeCell ref="B20:C20"/>
    <mergeCell ref="D20:E20"/>
    <mergeCell ref="A17:C17"/>
    <mergeCell ref="D17:E17"/>
    <mergeCell ref="A18:E18"/>
    <mergeCell ref="A19:C19"/>
    <mergeCell ref="D19:E19"/>
    <mergeCell ref="A10:B10"/>
    <mergeCell ref="D10:E10"/>
    <mergeCell ref="C68:D68"/>
    <mergeCell ref="A83:E83"/>
    <mergeCell ref="A84:E90"/>
    <mergeCell ref="A20:A33"/>
    <mergeCell ref="B33:C33"/>
    <mergeCell ref="A34:C34"/>
    <mergeCell ref="D34:E34"/>
    <mergeCell ref="B35:E35"/>
    <mergeCell ref="B32:C32"/>
    <mergeCell ref="D23:E23"/>
    <mergeCell ref="B24:C24"/>
    <mergeCell ref="D24:E24"/>
    <mergeCell ref="B25:C25"/>
    <mergeCell ref="D25:E25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3.77734375" bestFit="1" customWidth="1"/>
    <col min="7" max="7" width="27.886718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45">
        <f>'17'!A1+1</f>
        <v>46191</v>
      </c>
      <c r="B1" s="221" t="str">
        <f>'[10]1'!B1:E1</f>
        <v>DADA SALON KABARETT GÜN SONU RAPORU</v>
      </c>
      <c r="C1" s="221"/>
      <c r="D1" s="221"/>
      <c r="E1" s="221"/>
      <c r="F1" s="44"/>
      <c r="G1" s="44"/>
      <c r="H1" s="44"/>
      <c r="I1" s="50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12" ht="15" customHeight="1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12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12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12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12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12" ht="14.4" customHeight="1" x14ac:dyDescent="0.3">
      <c r="A26" s="267"/>
      <c r="B26" s="287"/>
      <c r="C26" s="288"/>
      <c r="D26" s="273"/>
      <c r="E26" s="274"/>
      <c r="F26" s="48"/>
      <c r="G26" s="118"/>
      <c r="H26" s="52"/>
      <c r="I26" s="73"/>
    </row>
    <row r="27" spans="1:12" s="47" customForma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L27" s="46"/>
    </row>
    <row r="28" spans="1:12" s="47" customFormat="1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L28" s="46"/>
    </row>
    <row r="29" spans="1:12" s="47" customFormat="1" ht="14.4" customHeight="1" x14ac:dyDescent="0.3">
      <c r="A29" s="267"/>
      <c r="B29" s="271"/>
      <c r="C29" s="272"/>
      <c r="D29" s="273"/>
      <c r="E29" s="274"/>
      <c r="F29" s="48"/>
      <c r="G29" s="105"/>
      <c r="H29" s="75"/>
      <c r="I29" s="68"/>
      <c r="L29" s="46"/>
    </row>
    <row r="30" spans="1:12" s="47" customFormat="1" x14ac:dyDescent="0.3">
      <c r="A30" s="267"/>
      <c r="B30" s="271"/>
      <c r="C30" s="272"/>
      <c r="D30" s="273"/>
      <c r="E30" s="274"/>
      <c r="F30" s="48"/>
      <c r="G30" s="105"/>
      <c r="H30" s="75"/>
      <c r="I30" s="68"/>
      <c r="L30" s="46"/>
    </row>
    <row r="31" spans="1:12" s="47" customFormat="1" x14ac:dyDescent="0.3">
      <c r="A31" s="267"/>
      <c r="B31" s="271"/>
      <c r="C31" s="272"/>
      <c r="D31" s="273"/>
      <c r="E31" s="274"/>
      <c r="F31" s="48"/>
      <c r="G31" s="105"/>
      <c r="H31" s="75"/>
      <c r="I31" s="68"/>
      <c r="L31" s="46"/>
    </row>
    <row r="32" spans="1:12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36" customHeight="1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'17'!E37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'17'!E39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'17'!E40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43.8" thickTop="1" x14ac:dyDescent="0.3">
      <c r="A74" s="87" t="s">
        <v>125</v>
      </c>
      <c r="B74" s="147"/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12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ht="28.8" x14ac:dyDescent="0.3">
      <c r="A77" s="63" t="s">
        <v>29</v>
      </c>
      <c r="B77" s="64"/>
      <c r="C77" s="50" t="e">
        <f>B77/C3</f>
        <v>#DIV/0!</v>
      </c>
      <c r="D77" s="50"/>
      <c r="E77" s="50"/>
      <c r="F77" s="48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102</v>
      </c>
      <c r="B79" s="64"/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B27:C27"/>
    <mergeCell ref="D27:E27"/>
    <mergeCell ref="A15:C15"/>
    <mergeCell ref="D15:E15"/>
    <mergeCell ref="A16:C16"/>
    <mergeCell ref="D16:E16"/>
    <mergeCell ref="B26:C26"/>
    <mergeCell ref="D19:E19"/>
    <mergeCell ref="B21:C21"/>
    <mergeCell ref="D21:E21"/>
    <mergeCell ref="B22:C22"/>
    <mergeCell ref="B20:C20"/>
    <mergeCell ref="A17:C17"/>
    <mergeCell ref="D17:E17"/>
    <mergeCell ref="A18:E18"/>
    <mergeCell ref="A19:C19"/>
    <mergeCell ref="C50:D50"/>
    <mergeCell ref="C42:D42"/>
    <mergeCell ref="C43:D43"/>
    <mergeCell ref="C46:D46"/>
    <mergeCell ref="C47:D47"/>
    <mergeCell ref="C48:D48"/>
    <mergeCell ref="B29:C29"/>
    <mergeCell ref="D29:E29"/>
    <mergeCell ref="B30:C30"/>
    <mergeCell ref="D30:E30"/>
    <mergeCell ref="B31:C31"/>
    <mergeCell ref="D31:E31"/>
    <mergeCell ref="C67:D67"/>
    <mergeCell ref="C56:D56"/>
    <mergeCell ref="C57:D57"/>
    <mergeCell ref="C58:D58"/>
    <mergeCell ref="C59:D59"/>
    <mergeCell ref="C60:D60"/>
    <mergeCell ref="C65:D65"/>
    <mergeCell ref="C66:D66"/>
    <mergeCell ref="C62:D62"/>
    <mergeCell ref="C63:D63"/>
    <mergeCell ref="C64:D64"/>
    <mergeCell ref="D11:E11"/>
    <mergeCell ref="A4:B4"/>
    <mergeCell ref="D4:E4"/>
    <mergeCell ref="A11:B11"/>
    <mergeCell ref="D14:E14"/>
    <mergeCell ref="D12:E12"/>
    <mergeCell ref="A13:C13"/>
    <mergeCell ref="D13:E13"/>
    <mergeCell ref="A9:B9"/>
    <mergeCell ref="D9:E9"/>
    <mergeCell ref="A12:B12"/>
    <mergeCell ref="A10:B10"/>
    <mergeCell ref="D10:E10"/>
    <mergeCell ref="A14:C14"/>
    <mergeCell ref="B1:E1"/>
    <mergeCell ref="D7:E7"/>
    <mergeCell ref="D8:E8"/>
    <mergeCell ref="A3:B3"/>
    <mergeCell ref="A7:B7"/>
    <mergeCell ref="C2:D2"/>
    <mergeCell ref="A8:B8"/>
    <mergeCell ref="A5:B5"/>
    <mergeCell ref="D5:E5"/>
    <mergeCell ref="A6:B6"/>
    <mergeCell ref="D6:E6"/>
    <mergeCell ref="A20:A33"/>
    <mergeCell ref="B33:C33"/>
    <mergeCell ref="D33:E33"/>
    <mergeCell ref="D20:E20"/>
    <mergeCell ref="D25:E25"/>
    <mergeCell ref="B25:C25"/>
    <mergeCell ref="D26:E26"/>
    <mergeCell ref="D22:E22"/>
    <mergeCell ref="B23:C23"/>
    <mergeCell ref="D32:E32"/>
    <mergeCell ref="D23:E23"/>
    <mergeCell ref="B24:C24"/>
    <mergeCell ref="D24:E24"/>
    <mergeCell ref="B32:C32"/>
    <mergeCell ref="B28:C28"/>
    <mergeCell ref="D28:E28"/>
    <mergeCell ref="A83:E83"/>
    <mergeCell ref="A84:E90"/>
    <mergeCell ref="A34:C34"/>
    <mergeCell ref="D34:E34"/>
    <mergeCell ref="B35:E35"/>
    <mergeCell ref="A41:D41"/>
    <mergeCell ref="C68:D68"/>
    <mergeCell ref="C61:D61"/>
    <mergeCell ref="C53:D53"/>
    <mergeCell ref="C54:D54"/>
    <mergeCell ref="C55:D55"/>
    <mergeCell ref="C44:D44"/>
    <mergeCell ref="C45:D45"/>
    <mergeCell ref="C49:D49"/>
    <mergeCell ref="C51:D51"/>
    <mergeCell ref="C52:D52"/>
  </mergeCells>
  <pageMargins left="0.70866141732283472" right="0.70866141732283472" top="7.874015748031496E-2" bottom="0" header="0" footer="3.937007874015748E-2"/>
  <pageSetup scale="8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93"/>
  <sheetViews>
    <sheetView workbookViewId="0">
      <pane xSplit="2" ySplit="2" topLeftCell="C72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A84" sqref="A84:E90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6.44140625" style="3" bestFit="1" customWidth="1"/>
    <col min="7" max="7" width="28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3" ht="18" thickBot="1" x14ac:dyDescent="0.5">
      <c r="A1" s="7">
        <f>'18'!A1+1</f>
        <v>46192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3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  <c r="K2" s="48"/>
      <c r="L2" s="50"/>
      <c r="M2" s="48"/>
    </row>
    <row r="3" spans="1:13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K3" s="48"/>
      <c r="L3" s="50" t="s">
        <v>18</v>
      </c>
      <c r="M3" s="48"/>
    </row>
    <row r="4" spans="1:13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  <c r="K4" s="48"/>
      <c r="L4" s="50"/>
      <c r="M4" s="50"/>
    </row>
    <row r="5" spans="1:13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  <c r="M5" s="50"/>
    </row>
    <row r="6" spans="1:13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  <c r="M6" s="50"/>
    </row>
    <row r="7" spans="1:13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K7" s="48"/>
      <c r="L7" s="50">
        <v>150</v>
      </c>
      <c r="M7" s="48"/>
    </row>
    <row r="8" spans="1:13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  <c r="K8" s="48"/>
      <c r="L8" s="50"/>
      <c r="M8" s="50"/>
    </row>
    <row r="9" spans="1:13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  <c r="M9" s="50"/>
    </row>
    <row r="10" spans="1:13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  <c r="M10" s="50"/>
    </row>
    <row r="11" spans="1:13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  <c r="K11" s="48"/>
      <c r="L11" s="50"/>
      <c r="M11" s="48"/>
    </row>
    <row r="12" spans="1:13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  <c r="K12" s="48"/>
      <c r="L12" s="50"/>
      <c r="M12" s="48"/>
    </row>
    <row r="13" spans="1:13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  <c r="K13" s="48"/>
      <c r="L13" s="50"/>
      <c r="M13" s="48"/>
    </row>
    <row r="14" spans="1:13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  <c r="K14" s="48"/>
      <c r="L14" s="50"/>
      <c r="M14" s="48"/>
    </row>
    <row r="15" spans="1:13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  <c r="K15" s="48"/>
      <c r="L15" s="50"/>
      <c r="M15" s="48"/>
    </row>
    <row r="16" spans="1:13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  <c r="K16" s="48"/>
      <c r="L16" s="50"/>
      <c r="M16" s="48"/>
    </row>
    <row r="17" spans="1:13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  <c r="K17" s="48"/>
      <c r="L17" s="50"/>
      <c r="M17" s="48"/>
    </row>
    <row r="18" spans="1:13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  <c r="K18" s="48"/>
      <c r="L18" s="50"/>
      <c r="M18" s="48"/>
    </row>
    <row r="19" spans="1:13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  <c r="K19" s="48"/>
      <c r="L19" s="50"/>
      <c r="M19" s="48"/>
    </row>
    <row r="20" spans="1:13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  <c r="K20" s="48"/>
      <c r="L20" s="50"/>
      <c r="M20" s="48"/>
    </row>
    <row r="21" spans="1:13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  <c r="K21" s="48"/>
      <c r="L21" s="50"/>
      <c r="M21" s="48"/>
    </row>
    <row r="22" spans="1:13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  <c r="K22" s="48"/>
      <c r="L22" s="50"/>
      <c r="M22" s="48"/>
    </row>
    <row r="23" spans="1:13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  <c r="K23" s="48"/>
      <c r="L23" s="50"/>
      <c r="M23" s="48"/>
    </row>
    <row r="24" spans="1:13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  <c r="K24" s="48"/>
      <c r="L24" s="50"/>
      <c r="M24" s="48"/>
    </row>
    <row r="25" spans="1:13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  <c r="K25" s="48"/>
      <c r="L25" s="50"/>
      <c r="M25" s="48"/>
    </row>
    <row r="26" spans="1:13" s="47" customFormat="1" x14ac:dyDescent="0.3">
      <c r="A26" s="267"/>
      <c r="B26" s="287"/>
      <c r="C26" s="288"/>
      <c r="D26" s="273"/>
      <c r="E26" s="274"/>
      <c r="F26" s="48"/>
      <c r="G26" s="118"/>
      <c r="H26" s="52"/>
      <c r="I26" s="73"/>
      <c r="J26" s="48"/>
      <c r="K26" s="48"/>
      <c r="L26" s="50"/>
      <c r="M26" s="48"/>
    </row>
    <row r="27" spans="1:13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  <c r="K27" s="48"/>
      <c r="L27" s="50"/>
      <c r="M27" s="48"/>
    </row>
    <row r="28" spans="1:13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  <c r="K28" s="48"/>
      <c r="L28" s="50"/>
      <c r="M28" s="48"/>
    </row>
    <row r="29" spans="1:13" x14ac:dyDescent="0.3">
      <c r="A29" s="267"/>
      <c r="B29" s="271"/>
      <c r="C29" s="272"/>
      <c r="D29" s="273"/>
      <c r="E29" s="274"/>
      <c r="F29" s="48"/>
      <c r="G29" s="105"/>
      <c r="H29" s="75"/>
      <c r="I29" s="68"/>
      <c r="J29" s="48"/>
      <c r="K29" s="48"/>
      <c r="L29" s="50"/>
      <c r="M29" s="48"/>
    </row>
    <row r="30" spans="1:13" x14ac:dyDescent="0.3">
      <c r="A30" s="267"/>
      <c r="B30" s="287"/>
      <c r="C30" s="288"/>
      <c r="D30" s="273"/>
      <c r="E30" s="274"/>
      <c r="F30" s="48"/>
      <c r="G30" s="105"/>
      <c r="H30" s="75"/>
      <c r="I30" s="68"/>
      <c r="J30" s="48"/>
      <c r="K30" s="48"/>
      <c r="L30" s="50"/>
      <c r="M30" s="48"/>
    </row>
    <row r="31" spans="1:13" ht="14.4" customHeight="1" x14ac:dyDescent="0.3">
      <c r="A31" s="267"/>
      <c r="B31" s="271"/>
      <c r="C31" s="272"/>
      <c r="D31" s="273"/>
      <c r="E31" s="274"/>
      <c r="F31" s="48"/>
      <c r="G31" s="105"/>
      <c r="H31" s="75"/>
      <c r="I31" s="68"/>
      <c r="J31" s="48"/>
      <c r="K31" s="48"/>
      <c r="L31" s="50"/>
      <c r="M31" s="48"/>
    </row>
    <row r="32" spans="1:13" ht="14.4" customHeight="1" x14ac:dyDescent="0.3">
      <c r="A32" s="267"/>
      <c r="B32" s="271"/>
      <c r="C32" s="272"/>
      <c r="D32" s="273"/>
      <c r="E32" s="274"/>
      <c r="F32" s="48"/>
      <c r="G32" s="105"/>
      <c r="H32" s="75"/>
      <c r="I32" s="68"/>
      <c r="J32" s="48"/>
      <c r="K32" s="48"/>
      <c r="L32" s="50"/>
      <c r="M32" s="48"/>
    </row>
    <row r="33" spans="1:13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9"/>
      <c r="K33" s="49"/>
      <c r="L33" s="6"/>
      <c r="M33" s="49"/>
    </row>
    <row r="34" spans="1:13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  <c r="K34" s="48"/>
      <c r="L34" s="50"/>
      <c r="M34" s="48"/>
    </row>
    <row r="35" spans="1:13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3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3" s="48" customFormat="1" ht="18.600000000000001" thickTop="1" thickBot="1" x14ac:dyDescent="0.5">
      <c r="A37" s="127">
        <f>'18'!E37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3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3" s="48" customFormat="1" ht="18.600000000000001" thickTop="1" thickBot="1" x14ac:dyDescent="0.35">
      <c r="A39" s="59" t="s">
        <v>73</v>
      </c>
      <c r="B39" s="116">
        <f>'18'!E39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3" s="2" customFormat="1" ht="18.600000000000001" thickTop="1" thickBot="1" x14ac:dyDescent="0.35">
      <c r="A40" s="59" t="s">
        <v>111</v>
      </c>
      <c r="B40" s="116">
        <f>'18'!E40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9"/>
      <c r="K40" s="49"/>
      <c r="L40" s="6"/>
      <c r="M40" s="49"/>
    </row>
    <row r="41" spans="1:13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  <c r="K41" s="48"/>
      <c r="L41" s="50"/>
      <c r="M41" s="48"/>
    </row>
    <row r="42" spans="1:13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  <c r="K42" s="48"/>
      <c r="L42" s="50"/>
      <c r="M42" s="48"/>
    </row>
    <row r="43" spans="1:13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  <c r="K43" s="48"/>
      <c r="L43" s="50"/>
      <c r="M43" s="48"/>
    </row>
    <row r="44" spans="1:13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  <c r="K44" s="48"/>
      <c r="L44" s="50"/>
      <c r="M44" s="48"/>
    </row>
    <row r="45" spans="1:13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  <c r="K45" s="48"/>
      <c r="L45" s="50"/>
      <c r="M45" s="48"/>
    </row>
    <row r="46" spans="1:13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  <c r="K46" s="48"/>
      <c r="L46" s="50"/>
      <c r="M46" s="48"/>
    </row>
    <row r="47" spans="1:13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  <c r="K47" s="48"/>
      <c r="L47" s="50"/>
      <c r="M47" s="48"/>
    </row>
    <row r="48" spans="1:13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  <c r="K48" s="48"/>
      <c r="L48" s="50"/>
      <c r="M48" s="48"/>
    </row>
    <row r="49" spans="1:13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  <c r="K49" s="48"/>
      <c r="L49" s="50"/>
      <c r="M49" s="48"/>
    </row>
    <row r="50" spans="1:13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  <c r="K50" s="48"/>
      <c r="L50" s="50"/>
      <c r="M50" s="48"/>
    </row>
    <row r="51" spans="1:13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  <c r="K51" s="48"/>
      <c r="L51" s="50"/>
      <c r="M51" s="48"/>
    </row>
    <row r="52" spans="1:13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  <c r="K52" s="48"/>
      <c r="L52" s="50"/>
      <c r="M52" s="48"/>
    </row>
    <row r="53" spans="1:13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  <c r="K53" s="48"/>
      <c r="L53" s="50"/>
      <c r="M53" s="48"/>
    </row>
    <row r="54" spans="1:13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  <c r="K54" s="48"/>
      <c r="L54" s="50"/>
      <c r="M54" s="48"/>
    </row>
    <row r="55" spans="1:13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  <c r="K55" s="48"/>
      <c r="L55" s="50"/>
      <c r="M55" s="48"/>
    </row>
    <row r="56" spans="1:13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  <c r="K56" s="48"/>
      <c r="L56" s="50"/>
      <c r="M56" s="48"/>
    </row>
    <row r="57" spans="1:13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  <c r="K57" s="48"/>
      <c r="L57" s="50"/>
      <c r="M57" s="48"/>
    </row>
    <row r="58" spans="1:13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  <c r="K58" s="48"/>
      <c r="L58" s="50"/>
      <c r="M58" s="48"/>
    </row>
    <row r="59" spans="1:13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  <c r="K59" s="48"/>
      <c r="L59" s="50"/>
      <c r="M59" s="48"/>
    </row>
    <row r="60" spans="1:13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  <c r="K60" s="48"/>
      <c r="L60" s="50"/>
      <c r="M60" s="48"/>
    </row>
    <row r="61" spans="1:13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  <c r="K61" s="48"/>
      <c r="L61" s="50"/>
      <c r="M61" s="48"/>
    </row>
    <row r="62" spans="1:13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  <c r="K62" s="48"/>
      <c r="L62" s="50"/>
      <c r="M62" s="48"/>
    </row>
    <row r="63" spans="1:13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  <c r="K63" s="48"/>
      <c r="L63" s="50"/>
      <c r="M63" s="48"/>
    </row>
    <row r="64" spans="1:13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  <c r="K64" s="48"/>
      <c r="L64" s="50"/>
      <c r="M64" s="48"/>
    </row>
    <row r="65" spans="1:13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  <c r="K65" s="48"/>
      <c r="L65" s="50"/>
      <c r="M65" s="48"/>
    </row>
    <row r="66" spans="1:13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  <c r="K66" s="48"/>
      <c r="L66" s="50"/>
      <c r="M66" s="48"/>
    </row>
    <row r="67" spans="1:13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  <c r="K67" s="48"/>
      <c r="L67" s="50"/>
      <c r="M67" s="48"/>
    </row>
    <row r="68" spans="1:13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  <c r="K68" s="48"/>
      <c r="L68" s="50"/>
      <c r="M68" s="48"/>
    </row>
    <row r="69" spans="1:13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  <c r="K69" s="48"/>
      <c r="L69" s="50"/>
      <c r="M69" s="48"/>
    </row>
    <row r="70" spans="1:13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  <c r="K70" s="48"/>
      <c r="L70" s="50"/>
      <c r="M70" s="48"/>
    </row>
    <row r="71" spans="1:13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  <c r="K71" s="48"/>
      <c r="L71" s="50"/>
      <c r="M71" s="48"/>
    </row>
    <row r="72" spans="1:13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3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3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  <c r="J74" s="48"/>
      <c r="K74" s="48"/>
      <c r="L74" s="50"/>
      <c r="M74" s="48"/>
    </row>
    <row r="75" spans="1:13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  <c r="K75" s="48"/>
      <c r="L75" s="50"/>
      <c r="M75" s="48"/>
    </row>
    <row r="76" spans="1:13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  <c r="K76" s="48"/>
      <c r="L76" s="50"/>
      <c r="M76" s="48"/>
    </row>
    <row r="77" spans="1:13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  <c r="J77" s="48"/>
      <c r="K77" s="48"/>
      <c r="L77" s="50"/>
      <c r="M77" s="48"/>
    </row>
    <row r="78" spans="1:13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  <c r="K78" s="48"/>
      <c r="L78" s="50"/>
      <c r="M78" s="48"/>
    </row>
    <row r="79" spans="1:13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  <c r="J79" s="48"/>
      <c r="K79" s="48"/>
      <c r="L79" s="50"/>
      <c r="M79" s="48"/>
    </row>
    <row r="80" spans="1:13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  <c r="K80" s="48"/>
      <c r="L80" s="50"/>
      <c r="M80" s="48"/>
    </row>
    <row r="81" spans="1:13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  <c r="K81" s="48"/>
      <c r="L81" s="50"/>
      <c r="M81" s="48"/>
    </row>
    <row r="82" spans="1:13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  <c r="K82" s="48"/>
      <c r="L82" s="50"/>
      <c r="M82" s="48"/>
    </row>
    <row r="83" spans="1:13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  <c r="K83" s="48"/>
      <c r="L83" s="50"/>
      <c r="M83" s="48"/>
    </row>
    <row r="84" spans="1:13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  <c r="J84" s="48"/>
      <c r="K84" s="48"/>
      <c r="L84" s="50"/>
      <c r="M84" s="48"/>
    </row>
    <row r="85" spans="1:13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  <c r="J85" s="48"/>
      <c r="K85" s="48"/>
      <c r="L85" s="50"/>
      <c r="M85" s="48"/>
    </row>
    <row r="86" spans="1:13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  <c r="J86" s="48"/>
      <c r="K86" s="48"/>
      <c r="L86" s="50"/>
      <c r="M86" s="48"/>
    </row>
    <row r="87" spans="1:13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  <c r="J87" s="48"/>
      <c r="K87" s="48"/>
      <c r="L87" s="50"/>
      <c r="M87" s="48"/>
    </row>
    <row r="88" spans="1:13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  <c r="J88" s="48"/>
      <c r="K88" s="48"/>
      <c r="L88" s="50"/>
      <c r="M88" s="48"/>
    </row>
    <row r="89" spans="1:13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  <c r="J89" s="48"/>
      <c r="K89" s="48"/>
      <c r="L89" s="50"/>
      <c r="M89" s="48"/>
    </row>
    <row r="90" spans="1:13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  <c r="J90" s="48"/>
      <c r="K90" s="48"/>
      <c r="L90" s="50"/>
      <c r="M90" s="48"/>
    </row>
    <row r="91" spans="1:13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  <c r="K91" s="48"/>
      <c r="L91" s="50"/>
      <c r="M91" s="48"/>
    </row>
    <row r="92" spans="1:13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  <c r="K92" s="48"/>
      <c r="L92" s="50"/>
      <c r="M92" s="48"/>
    </row>
    <row r="93" spans="1:13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C67:D67"/>
    <mergeCell ref="A16:C16"/>
    <mergeCell ref="D16:E16"/>
    <mergeCell ref="B32:C32"/>
    <mergeCell ref="D19:E19"/>
    <mergeCell ref="B20:C20"/>
    <mergeCell ref="D20:E20"/>
    <mergeCell ref="B21:C21"/>
    <mergeCell ref="D21:E21"/>
    <mergeCell ref="B27:C27"/>
    <mergeCell ref="D27:E27"/>
    <mergeCell ref="B28:C28"/>
    <mergeCell ref="D28:E28"/>
    <mergeCell ref="B29:C29"/>
    <mergeCell ref="D29:E29"/>
    <mergeCell ref="C62:D62"/>
    <mergeCell ref="A11:B11"/>
    <mergeCell ref="D12:E12"/>
    <mergeCell ref="B26:C26"/>
    <mergeCell ref="A9:B9"/>
    <mergeCell ref="D9:E9"/>
    <mergeCell ref="D11:E11"/>
    <mergeCell ref="A14:C14"/>
    <mergeCell ref="D14:E14"/>
    <mergeCell ref="A15:C15"/>
    <mergeCell ref="A13:C13"/>
    <mergeCell ref="D13:E13"/>
    <mergeCell ref="A12:B12"/>
    <mergeCell ref="D24:E24"/>
    <mergeCell ref="D15:E15"/>
    <mergeCell ref="A10:B10"/>
    <mergeCell ref="D10:E10"/>
    <mergeCell ref="B1:E1"/>
    <mergeCell ref="C2:D2"/>
    <mergeCell ref="D7:E7"/>
    <mergeCell ref="A8:B8"/>
    <mergeCell ref="D8:E8"/>
    <mergeCell ref="A4:B4"/>
    <mergeCell ref="D4:E4"/>
    <mergeCell ref="A5:B5"/>
    <mergeCell ref="D5:E5"/>
    <mergeCell ref="A6:B6"/>
    <mergeCell ref="D6:E6"/>
    <mergeCell ref="A3:B3"/>
    <mergeCell ref="A7:B7"/>
    <mergeCell ref="C54:D54"/>
    <mergeCell ref="C55:D55"/>
    <mergeCell ref="C56:D56"/>
    <mergeCell ref="C57:D57"/>
    <mergeCell ref="C58:D58"/>
    <mergeCell ref="C59:D59"/>
    <mergeCell ref="B30:C30"/>
    <mergeCell ref="C52:D52"/>
    <mergeCell ref="C60:D60"/>
    <mergeCell ref="C61:D61"/>
    <mergeCell ref="D30:E30"/>
    <mergeCell ref="B31:C31"/>
    <mergeCell ref="D31:E31"/>
    <mergeCell ref="C47:D47"/>
    <mergeCell ref="D32:E32"/>
    <mergeCell ref="C42:D42"/>
    <mergeCell ref="C43:D43"/>
    <mergeCell ref="C44:D44"/>
    <mergeCell ref="C45:D45"/>
    <mergeCell ref="C46:D46"/>
    <mergeCell ref="D33:E33"/>
    <mergeCell ref="A17:C17"/>
    <mergeCell ref="D17:E17"/>
    <mergeCell ref="A18:E18"/>
    <mergeCell ref="A19:C19"/>
    <mergeCell ref="A20:A33"/>
    <mergeCell ref="B33:C33"/>
    <mergeCell ref="B25:C25"/>
    <mergeCell ref="D25:E25"/>
    <mergeCell ref="D26:E26"/>
    <mergeCell ref="B22:C22"/>
    <mergeCell ref="D22:E22"/>
    <mergeCell ref="B23:C23"/>
    <mergeCell ref="D23:E23"/>
    <mergeCell ref="B24:C24"/>
    <mergeCell ref="A83:E83"/>
    <mergeCell ref="A84:E90"/>
    <mergeCell ref="A34:C34"/>
    <mergeCell ref="D34:E34"/>
    <mergeCell ref="B35:E35"/>
    <mergeCell ref="A41:D41"/>
    <mergeCell ref="C68:D68"/>
    <mergeCell ref="C66:D66"/>
    <mergeCell ref="C63:D63"/>
    <mergeCell ref="C64:D64"/>
    <mergeCell ref="C65:D65"/>
    <mergeCell ref="C53:D53"/>
    <mergeCell ref="C48:D48"/>
    <mergeCell ref="C49:D49"/>
    <mergeCell ref="C50:D50"/>
    <mergeCell ref="C51:D51"/>
  </mergeCells>
  <pageMargins left="0.70866141732283472" right="0.70866141732283472" top="0.1" bottom="0.36" header="0.12" footer="0.01"/>
  <pageSetup scale="8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D92" sqref="D92"/>
    </sheetView>
  </sheetViews>
  <sheetFormatPr defaultColWidth="8.77734375" defaultRowHeight="14.4" x14ac:dyDescent="0.3"/>
  <cols>
    <col min="1" max="1" width="33.6640625" bestFit="1" customWidth="1"/>
    <col min="2" max="2" width="15.109375" customWidth="1"/>
    <col min="3" max="3" width="21.109375" customWidth="1"/>
    <col min="4" max="4" width="16.5546875" style="3" customWidth="1"/>
    <col min="5" max="5" width="16.44140625" style="3" bestFit="1" customWidth="1"/>
    <col min="6" max="6" width="13.77734375" bestFit="1" customWidth="1"/>
    <col min="7" max="7" width="28.109375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'19'!A1+1</f>
        <v>46193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12" ht="39.6" customHeight="1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12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L21" s="46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L22" s="46"/>
    </row>
    <row r="23" spans="1:12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L23" s="46"/>
    </row>
    <row r="24" spans="1:12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L24" s="46"/>
    </row>
    <row r="25" spans="1:12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L25" s="46"/>
    </row>
    <row r="26" spans="1:12" x14ac:dyDescent="0.3">
      <c r="A26" s="267"/>
      <c r="B26" s="287"/>
      <c r="C26" s="288"/>
      <c r="D26" s="273"/>
      <c r="E26" s="274"/>
      <c r="F26" s="48"/>
      <c r="G26" s="118"/>
      <c r="H26" s="52"/>
      <c r="I26" s="73"/>
    </row>
    <row r="27" spans="1:12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12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12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12" x14ac:dyDescent="0.3">
      <c r="A30" s="267"/>
      <c r="B30" s="271"/>
      <c r="C30" s="272"/>
      <c r="D30" s="273"/>
      <c r="E30" s="274"/>
      <c r="F30" s="48"/>
      <c r="G30" s="105"/>
      <c r="H30" s="75"/>
      <c r="I30" s="68"/>
    </row>
    <row r="31" spans="1:12" x14ac:dyDescent="0.3">
      <c r="A31" s="267"/>
      <c r="B31" s="271"/>
      <c r="C31" s="272"/>
      <c r="D31" s="273"/>
      <c r="E31" s="274"/>
      <c r="F31" s="48"/>
      <c r="G31" s="105"/>
      <c r="H31" s="75"/>
      <c r="I31" s="68"/>
    </row>
    <row r="32" spans="1:12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12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'19'!E37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'19'!E39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'19'!E40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126</v>
      </c>
      <c r="B74" s="147"/>
      <c r="C74" s="48"/>
      <c r="D74" s="50"/>
      <c r="E74" s="50"/>
      <c r="F74" s="48"/>
      <c r="G74" s="105"/>
      <c r="H74" s="75"/>
      <c r="I74" s="6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12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12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12" x14ac:dyDescent="0.3">
      <c r="A79" s="83" t="s">
        <v>98</v>
      </c>
      <c r="B79" s="64"/>
      <c r="C79" s="48"/>
      <c r="D79" s="50"/>
      <c r="E79" s="50"/>
      <c r="F79" s="48"/>
      <c r="G79" s="105"/>
      <c r="H79" s="78"/>
      <c r="I79" s="79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C58:D58"/>
    <mergeCell ref="C46:D46"/>
    <mergeCell ref="C53:D53"/>
    <mergeCell ref="C54:D54"/>
    <mergeCell ref="C55:D55"/>
    <mergeCell ref="C57:D57"/>
    <mergeCell ref="C56:D56"/>
    <mergeCell ref="C48:D48"/>
    <mergeCell ref="C49:D49"/>
    <mergeCell ref="D13:E13"/>
    <mergeCell ref="A5:B5"/>
    <mergeCell ref="D5:E5"/>
    <mergeCell ref="A9:B9"/>
    <mergeCell ref="D9:E9"/>
    <mergeCell ref="D12:E12"/>
    <mergeCell ref="A13:C13"/>
    <mergeCell ref="D10:E10"/>
    <mergeCell ref="D6:E6"/>
    <mergeCell ref="A8:B8"/>
    <mergeCell ref="D33:E33"/>
    <mergeCell ref="B22:C22"/>
    <mergeCell ref="D22:E22"/>
    <mergeCell ref="B23:C23"/>
    <mergeCell ref="D23:E23"/>
    <mergeCell ref="B24:C24"/>
    <mergeCell ref="D24:E24"/>
    <mergeCell ref="B32:C32"/>
    <mergeCell ref="B31:C31"/>
    <mergeCell ref="D31:E31"/>
    <mergeCell ref="B25:C25"/>
    <mergeCell ref="D25:E25"/>
    <mergeCell ref="B26:C26"/>
    <mergeCell ref="D19:E19"/>
    <mergeCell ref="A12:B12"/>
    <mergeCell ref="A17:C17"/>
    <mergeCell ref="D29:E29"/>
    <mergeCell ref="A4:B4"/>
    <mergeCell ref="D4:E4"/>
    <mergeCell ref="A11:B11"/>
    <mergeCell ref="A16:C16"/>
    <mergeCell ref="D16:E16"/>
    <mergeCell ref="A14:C14"/>
    <mergeCell ref="D11:E11"/>
    <mergeCell ref="A15:C15"/>
    <mergeCell ref="D15:E15"/>
    <mergeCell ref="D14:E14"/>
    <mergeCell ref="A10:B10"/>
    <mergeCell ref="A18:E18"/>
    <mergeCell ref="B1:E1"/>
    <mergeCell ref="C44:D44"/>
    <mergeCell ref="C45:D45"/>
    <mergeCell ref="D27:E27"/>
    <mergeCell ref="B28:C28"/>
    <mergeCell ref="D28:E28"/>
    <mergeCell ref="A3:B3"/>
    <mergeCell ref="A7:B7"/>
    <mergeCell ref="D7:E7"/>
    <mergeCell ref="D8:E8"/>
    <mergeCell ref="D32:E32"/>
    <mergeCell ref="D20:E20"/>
    <mergeCell ref="B27:C27"/>
    <mergeCell ref="C2:D2"/>
    <mergeCell ref="A41:D41"/>
    <mergeCell ref="A6:B6"/>
    <mergeCell ref="D17:E17"/>
    <mergeCell ref="B30:C30"/>
    <mergeCell ref="C47:D47"/>
    <mergeCell ref="D21:E21"/>
    <mergeCell ref="C68:D68"/>
    <mergeCell ref="A19:C19"/>
    <mergeCell ref="D30:E30"/>
    <mergeCell ref="B20:C20"/>
    <mergeCell ref="D26:E26"/>
    <mergeCell ref="B21:C21"/>
    <mergeCell ref="C42:D42"/>
    <mergeCell ref="C43:D43"/>
    <mergeCell ref="C67:D67"/>
    <mergeCell ref="C61:D61"/>
    <mergeCell ref="C50:D50"/>
    <mergeCell ref="C51:D51"/>
    <mergeCell ref="A83:E83"/>
    <mergeCell ref="A84:E90"/>
    <mergeCell ref="A20:A33"/>
    <mergeCell ref="B33:C33"/>
    <mergeCell ref="A34:C34"/>
    <mergeCell ref="D34:E34"/>
    <mergeCell ref="B35:E35"/>
    <mergeCell ref="B29:C29"/>
    <mergeCell ref="C65:D65"/>
    <mergeCell ref="C66:D66"/>
    <mergeCell ref="C62:D62"/>
    <mergeCell ref="C63:D63"/>
    <mergeCell ref="C64:D64"/>
    <mergeCell ref="C52:D52"/>
    <mergeCell ref="C59:D59"/>
    <mergeCell ref="C60:D60"/>
  </mergeCells>
  <pageMargins left="0.7" right="0.7" top="0.11" bottom="0.05" header="0.03" footer="0.0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B35" sqref="B35:E35"/>
    </sheetView>
  </sheetViews>
  <sheetFormatPr defaultColWidth="8.77734375" defaultRowHeight="14.4" x14ac:dyDescent="0.3"/>
  <cols>
    <col min="1" max="1" width="33.6640625" bestFit="1" customWidth="1"/>
    <col min="2" max="2" width="15.109375" customWidth="1"/>
    <col min="3" max="3" width="21.109375" customWidth="1"/>
    <col min="4" max="4" width="16.5546875" style="3" customWidth="1"/>
    <col min="5" max="5" width="16.44140625" style="3" bestFit="1" customWidth="1"/>
    <col min="6" max="6" width="13.77734375" bestFit="1" customWidth="1"/>
    <col min="7" max="7" width="28" customWidth="1"/>
    <col min="8" max="8" width="36.44140625" customWidth="1"/>
    <col min="9" max="9" width="16.44140625" style="3" customWidth="1"/>
    <col min="11" max="11" width="8.77734375" customWidth="1"/>
    <col min="12" max="12" width="11" style="3" hidden="1" customWidth="1"/>
  </cols>
  <sheetData>
    <row r="1" spans="1:12" ht="18" thickBot="1" x14ac:dyDescent="0.5">
      <c r="A1" s="7">
        <f>'20'!A1+1</f>
        <v>46194</v>
      </c>
      <c r="B1" s="221" t="s">
        <v>33</v>
      </c>
      <c r="C1" s="221"/>
      <c r="D1" s="221"/>
      <c r="E1" s="221"/>
      <c r="F1" s="1"/>
      <c r="G1" s="1"/>
      <c r="H1" s="1"/>
      <c r="J1" s="1"/>
    </row>
    <row r="2" spans="1:12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L3" s="3" t="s">
        <v>18</v>
      </c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  <c r="L5" s="50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  <c r="L6" s="50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L7" s="3">
        <v>150</v>
      </c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  <c r="L9" s="50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  <c r="L10" s="50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</row>
    <row r="17" spans="1:12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</row>
    <row r="18" spans="1:12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</row>
    <row r="19" spans="1:12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</row>
    <row r="20" spans="1:12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</row>
    <row r="21" spans="1:12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  <c r="L21" s="46"/>
    </row>
    <row r="22" spans="1:12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  <c r="L22" s="46"/>
    </row>
    <row r="23" spans="1:12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  <c r="L23" s="46"/>
    </row>
    <row r="24" spans="1:12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  <c r="L24" s="46"/>
    </row>
    <row r="25" spans="1:12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  <c r="L25" s="46"/>
    </row>
    <row r="26" spans="1:12" x14ac:dyDescent="0.3">
      <c r="A26" s="267"/>
      <c r="B26" s="287"/>
      <c r="C26" s="288"/>
      <c r="D26" s="273"/>
      <c r="E26" s="274"/>
      <c r="F26" s="48"/>
      <c r="G26" s="118"/>
      <c r="H26" s="52"/>
      <c r="I26" s="73"/>
      <c r="J26" s="48"/>
    </row>
    <row r="27" spans="1:12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</row>
    <row r="28" spans="1:12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</row>
    <row r="29" spans="1:12" ht="14.4" customHeight="1" x14ac:dyDescent="0.3">
      <c r="A29" s="267"/>
      <c r="B29" s="271"/>
      <c r="C29" s="272"/>
      <c r="D29" s="273"/>
      <c r="E29" s="274"/>
      <c r="F29" s="48"/>
      <c r="G29" s="105"/>
      <c r="H29" s="75"/>
      <c r="I29" s="68"/>
      <c r="J29" s="48"/>
    </row>
    <row r="30" spans="1:12" ht="14.4" customHeight="1" x14ac:dyDescent="0.3">
      <c r="A30" s="267"/>
      <c r="B30" s="271"/>
      <c r="C30" s="272"/>
      <c r="D30" s="273"/>
      <c r="E30" s="274"/>
      <c r="F30" s="48"/>
      <c r="G30" s="105"/>
      <c r="H30" s="75"/>
      <c r="I30" s="68"/>
      <c r="J30" s="48"/>
    </row>
    <row r="31" spans="1:12" ht="14.4" customHeight="1" x14ac:dyDescent="0.3">
      <c r="A31" s="267"/>
      <c r="B31" s="230"/>
      <c r="C31" s="231"/>
      <c r="D31" s="228"/>
      <c r="E31" s="229"/>
      <c r="F31" s="48"/>
      <c r="G31" s="105"/>
      <c r="H31" s="75"/>
      <c r="I31" s="68"/>
      <c r="J31" s="48"/>
    </row>
    <row r="32" spans="1:12" ht="15" customHeight="1" x14ac:dyDescent="0.3">
      <c r="A32" s="267"/>
      <c r="B32" s="230"/>
      <c r="C32" s="231"/>
      <c r="D32" s="228"/>
      <c r="E32" s="229"/>
      <c r="F32" s="48"/>
      <c r="G32" s="105"/>
      <c r="H32" s="75"/>
      <c r="I32" s="68"/>
      <c r="J32" s="48"/>
    </row>
    <row r="33" spans="1:12" s="2" customFormat="1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9"/>
      <c r="L33" s="6"/>
    </row>
    <row r="34" spans="1:12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</row>
    <row r="35" spans="1:12" s="48" customFormat="1" ht="58.8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  <c r="L35" s="50"/>
    </row>
    <row r="36" spans="1:12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  <c r="L36" s="50"/>
    </row>
    <row r="37" spans="1:12" s="48" customFormat="1" ht="18.600000000000001" thickTop="1" thickBot="1" x14ac:dyDescent="0.5">
      <c r="A37" s="127">
        <f>'20'!E37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  <c r="L37" s="50"/>
    </row>
    <row r="38" spans="1:12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  <c r="L38" s="50"/>
    </row>
    <row r="39" spans="1:12" s="48" customFormat="1" ht="18.600000000000001" thickTop="1" thickBot="1" x14ac:dyDescent="0.35">
      <c r="A39" s="59" t="s">
        <v>73</v>
      </c>
      <c r="B39" s="116">
        <f>'20'!E39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  <c r="L39" s="50"/>
    </row>
    <row r="40" spans="1:12" s="2" customFormat="1" ht="18.600000000000001" thickTop="1" thickBot="1" x14ac:dyDescent="0.35">
      <c r="A40" s="59" t="s">
        <v>111</v>
      </c>
      <c r="B40" s="116">
        <f>'20'!E40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9"/>
      <c r="L40" s="6"/>
    </row>
    <row r="41" spans="1:12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</row>
    <row r="42" spans="1:12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</row>
    <row r="43" spans="1:12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</row>
    <row r="44" spans="1:12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</row>
    <row r="45" spans="1:12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</row>
    <row r="46" spans="1:12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</row>
    <row r="47" spans="1:12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</row>
    <row r="48" spans="1:12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</row>
    <row r="49" spans="1:10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</row>
    <row r="50" spans="1:10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</row>
    <row r="51" spans="1:10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</row>
    <row r="52" spans="1:10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</row>
    <row r="53" spans="1:10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</row>
    <row r="54" spans="1:10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</row>
    <row r="55" spans="1:10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</row>
    <row r="56" spans="1:10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</row>
    <row r="57" spans="1:10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</row>
    <row r="58" spans="1:10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</row>
    <row r="59" spans="1:10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</row>
    <row r="60" spans="1:10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</row>
    <row r="61" spans="1:10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</row>
    <row r="62" spans="1:10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</row>
    <row r="63" spans="1:10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</row>
    <row r="64" spans="1:10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</row>
    <row r="65" spans="1:12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</row>
    <row r="66" spans="1:12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</row>
    <row r="67" spans="1:12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</row>
    <row r="68" spans="1:12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</row>
    <row r="69" spans="1:12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</row>
    <row r="70" spans="1:12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</row>
    <row r="71" spans="1:12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</row>
    <row r="72" spans="1:12" s="48" customFormat="1" x14ac:dyDescent="0.3">
      <c r="A72" s="87" t="s">
        <v>96</v>
      </c>
      <c r="B72" s="147"/>
      <c r="D72" s="50"/>
      <c r="E72" s="50"/>
      <c r="G72" s="105"/>
      <c r="H72" s="75"/>
      <c r="I72" s="68"/>
      <c r="L72" s="50"/>
    </row>
    <row r="73" spans="1:12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  <c r="L73" s="50"/>
    </row>
    <row r="74" spans="1:12" ht="29.4" thickTop="1" x14ac:dyDescent="0.3">
      <c r="A74" s="87" t="s">
        <v>127</v>
      </c>
      <c r="B74" s="147"/>
      <c r="C74" s="48"/>
      <c r="D74" s="50"/>
      <c r="E74" s="50"/>
      <c r="F74" s="48"/>
      <c r="G74" s="105"/>
      <c r="H74" s="75"/>
      <c r="I74" s="68"/>
      <c r="J74" s="48"/>
    </row>
    <row r="75" spans="1:12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</row>
    <row r="76" spans="1:12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</row>
    <row r="77" spans="1:12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  <c r="J77" s="48"/>
    </row>
    <row r="78" spans="1:12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</row>
    <row r="79" spans="1:12" x14ac:dyDescent="0.3">
      <c r="A79" s="83" t="s">
        <v>98</v>
      </c>
      <c r="B79" s="64"/>
      <c r="C79" s="48"/>
      <c r="D79" s="50"/>
      <c r="E79" s="50"/>
      <c r="F79" s="48"/>
      <c r="G79" s="105"/>
      <c r="H79" s="78"/>
      <c r="I79" s="79"/>
      <c r="J79" s="48"/>
    </row>
    <row r="80" spans="1:12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</row>
    <row r="81" spans="1:10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</row>
    <row r="82" spans="1:10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</row>
    <row r="83" spans="1:10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</row>
    <row r="84" spans="1:10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  <c r="J84" s="48"/>
    </row>
    <row r="85" spans="1:10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  <c r="J85" s="48"/>
    </row>
    <row r="86" spans="1:10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  <c r="J86" s="48"/>
    </row>
    <row r="87" spans="1:10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  <c r="J87" s="48"/>
    </row>
    <row r="88" spans="1:10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  <c r="J88" s="48"/>
    </row>
    <row r="89" spans="1:10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  <c r="J89" s="48"/>
    </row>
    <row r="90" spans="1:10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  <c r="J90" s="48"/>
    </row>
    <row r="91" spans="1:10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</row>
    <row r="92" spans="1:10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</row>
    <row r="93" spans="1:10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C42:D42"/>
    <mergeCell ref="C43:D43"/>
    <mergeCell ref="B29:C29"/>
    <mergeCell ref="C67:D67"/>
    <mergeCell ref="D29:E29"/>
    <mergeCell ref="D30:E30"/>
    <mergeCell ref="B32:C32"/>
    <mergeCell ref="B30:C30"/>
    <mergeCell ref="B31:C31"/>
    <mergeCell ref="D31:E31"/>
    <mergeCell ref="D32:E32"/>
    <mergeCell ref="D33:E33"/>
    <mergeCell ref="C45:D45"/>
    <mergeCell ref="C54:D54"/>
    <mergeCell ref="C55:D55"/>
    <mergeCell ref="C53:D53"/>
    <mergeCell ref="A16:C16"/>
    <mergeCell ref="D16:E16"/>
    <mergeCell ref="D26:E26"/>
    <mergeCell ref="B27:C27"/>
    <mergeCell ref="D27:E27"/>
    <mergeCell ref="D19:E19"/>
    <mergeCell ref="B20:C20"/>
    <mergeCell ref="A19:C19"/>
    <mergeCell ref="A20:A33"/>
    <mergeCell ref="B33:C33"/>
    <mergeCell ref="D22:E22"/>
    <mergeCell ref="B23:C23"/>
    <mergeCell ref="D23:E23"/>
    <mergeCell ref="B28:C28"/>
    <mergeCell ref="D28:E28"/>
    <mergeCell ref="B26:C26"/>
    <mergeCell ref="B1:E1"/>
    <mergeCell ref="D7:E7"/>
    <mergeCell ref="A8:B8"/>
    <mergeCell ref="D20:E20"/>
    <mergeCell ref="C2:D2"/>
    <mergeCell ref="A14:C14"/>
    <mergeCell ref="D14:E14"/>
    <mergeCell ref="D11:E11"/>
    <mergeCell ref="A15:C15"/>
    <mergeCell ref="D15:E15"/>
    <mergeCell ref="D8:E8"/>
    <mergeCell ref="A4:B4"/>
    <mergeCell ref="D4:E4"/>
    <mergeCell ref="A7:B7"/>
    <mergeCell ref="A3:B3"/>
    <mergeCell ref="A11:B11"/>
    <mergeCell ref="A6:B6"/>
    <mergeCell ref="D6:E6"/>
    <mergeCell ref="A5:B5"/>
    <mergeCell ref="D5:E5"/>
    <mergeCell ref="B24:C24"/>
    <mergeCell ref="D24:E24"/>
    <mergeCell ref="D12:E12"/>
    <mergeCell ref="A13:C13"/>
    <mergeCell ref="D13:E13"/>
    <mergeCell ref="A9:B9"/>
    <mergeCell ref="D9:E9"/>
    <mergeCell ref="A12:B12"/>
    <mergeCell ref="A17:C17"/>
    <mergeCell ref="D17:E17"/>
    <mergeCell ref="A18:E18"/>
    <mergeCell ref="B21:C21"/>
    <mergeCell ref="A83:E83"/>
    <mergeCell ref="A84:E90"/>
    <mergeCell ref="C50:D50"/>
    <mergeCell ref="C51:D51"/>
    <mergeCell ref="C52:D52"/>
    <mergeCell ref="C64:D64"/>
    <mergeCell ref="C62:D62"/>
    <mergeCell ref="C63:D63"/>
    <mergeCell ref="C66:D66"/>
    <mergeCell ref="C56:D56"/>
    <mergeCell ref="C57:D57"/>
    <mergeCell ref="C58:D58"/>
    <mergeCell ref="C59:D59"/>
    <mergeCell ref="C60:D60"/>
    <mergeCell ref="C61:D61"/>
    <mergeCell ref="C65:D65"/>
    <mergeCell ref="A10:B10"/>
    <mergeCell ref="D10:E10"/>
    <mergeCell ref="B35:E35"/>
    <mergeCell ref="A41:D41"/>
    <mergeCell ref="C68:D68"/>
    <mergeCell ref="C46:D46"/>
    <mergeCell ref="C47:D47"/>
    <mergeCell ref="C48:D48"/>
    <mergeCell ref="C49:D49"/>
    <mergeCell ref="C44:D44"/>
    <mergeCell ref="A34:C34"/>
    <mergeCell ref="D34:E34"/>
    <mergeCell ref="B25:C25"/>
    <mergeCell ref="D25:E25"/>
    <mergeCell ref="D21:E21"/>
    <mergeCell ref="B22:C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94"/>
  <sheetViews>
    <sheetView workbookViewId="0">
      <pane xSplit="2" ySplit="2" topLeftCell="C78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I84" sqref="I84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7" max="7" width="27.77734375" customWidth="1"/>
    <col min="8" max="8" width="36.44140625" customWidth="1"/>
    <col min="9" max="9" width="16.44140625" style="3" customWidth="1"/>
  </cols>
  <sheetData>
    <row r="1" spans="1:10" ht="18" thickBot="1" x14ac:dyDescent="0.5">
      <c r="A1" s="45">
        <f>'21'!A1+1</f>
        <v>46195</v>
      </c>
      <c r="B1" s="221" t="str">
        <f>'1'!B1:E1</f>
        <v>DADA SALON KABARETT GÜN SONU RAPORU</v>
      </c>
      <c r="C1" s="221"/>
      <c r="D1" s="221"/>
      <c r="E1" s="221"/>
      <c r="F1" s="44"/>
      <c r="G1" s="44"/>
      <c r="H1" s="44"/>
      <c r="I1" s="50"/>
      <c r="J1" s="48"/>
    </row>
    <row r="2" spans="1:10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</row>
    <row r="3" spans="1:10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</row>
    <row r="4" spans="1:10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</row>
    <row r="5" spans="1:10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10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10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</row>
    <row r="8" spans="1:10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</row>
    <row r="9" spans="1:10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10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10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</row>
    <row r="12" spans="1:10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</row>
    <row r="13" spans="1:10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</row>
    <row r="14" spans="1:10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</row>
    <row r="15" spans="1:10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</row>
    <row r="16" spans="1:10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</row>
    <row r="17" spans="1:10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</row>
    <row r="18" spans="1:10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</row>
    <row r="19" spans="1:10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</row>
    <row r="20" spans="1:10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</row>
    <row r="21" spans="1:10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</row>
    <row r="22" spans="1:10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</row>
    <row r="23" spans="1:10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</row>
    <row r="24" spans="1:10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</row>
    <row r="25" spans="1:10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</row>
    <row r="26" spans="1:10" x14ac:dyDescent="0.3">
      <c r="A26" s="267"/>
      <c r="B26" s="287"/>
      <c r="C26" s="288"/>
      <c r="D26" s="273"/>
      <c r="E26" s="274"/>
      <c r="F26" s="48"/>
      <c r="G26" s="118"/>
      <c r="H26" s="52"/>
      <c r="I26" s="73"/>
      <c r="J26" s="48"/>
    </row>
    <row r="27" spans="1:10" ht="14.4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</row>
    <row r="28" spans="1:10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</row>
    <row r="29" spans="1:10" ht="14.4" customHeight="1" x14ac:dyDescent="0.3">
      <c r="A29" s="267"/>
      <c r="B29" s="271"/>
      <c r="C29" s="272"/>
      <c r="D29" s="273"/>
      <c r="E29" s="274"/>
      <c r="F29" s="48"/>
      <c r="G29" s="105"/>
      <c r="H29" s="75"/>
      <c r="I29" s="68"/>
      <c r="J29" s="48"/>
    </row>
    <row r="30" spans="1:10" ht="14.4" customHeight="1" x14ac:dyDescent="0.3">
      <c r="A30" s="267"/>
      <c r="B30" s="271"/>
      <c r="C30" s="272"/>
      <c r="D30" s="273"/>
      <c r="E30" s="274"/>
      <c r="F30" s="48"/>
      <c r="G30" s="105"/>
      <c r="H30" s="75"/>
      <c r="I30" s="68"/>
      <c r="J30" s="48"/>
    </row>
    <row r="31" spans="1:10" x14ac:dyDescent="0.3">
      <c r="A31" s="267"/>
      <c r="B31" s="271"/>
      <c r="C31" s="272"/>
      <c r="D31" s="273"/>
      <c r="E31" s="274"/>
      <c r="F31" s="48"/>
      <c r="G31" s="105"/>
      <c r="H31" s="75"/>
      <c r="I31" s="68"/>
      <c r="J31" s="48"/>
    </row>
    <row r="32" spans="1:10" x14ac:dyDescent="0.3">
      <c r="A32" s="267"/>
      <c r="B32" s="271"/>
      <c r="C32" s="272"/>
      <c r="D32" s="273"/>
      <c r="E32" s="274"/>
      <c r="F32" s="48"/>
      <c r="G32" s="105"/>
      <c r="H32" s="75"/>
      <c r="I32" s="68"/>
      <c r="J32" s="48"/>
    </row>
    <row r="33" spans="1:10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8"/>
    </row>
    <row r="34" spans="1:10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</row>
    <row r="35" spans="1:10" s="48" customFormat="1" ht="36" customHeight="1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10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10" s="48" customFormat="1" ht="18.600000000000001" thickTop="1" thickBot="1" x14ac:dyDescent="0.5">
      <c r="A37" s="127">
        <f>'21'!E37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10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10" s="48" customFormat="1" ht="18.600000000000001" thickTop="1" thickBot="1" x14ac:dyDescent="0.35">
      <c r="A39" s="59" t="s">
        <v>73</v>
      </c>
      <c r="B39" s="116">
        <f>'21'!E39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10" ht="18.600000000000001" thickTop="1" thickBot="1" x14ac:dyDescent="0.35">
      <c r="A40" s="59" t="s">
        <v>111</v>
      </c>
      <c r="B40" s="116">
        <f>'21'!E40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8"/>
    </row>
    <row r="41" spans="1:10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</row>
    <row r="42" spans="1:10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</row>
    <row r="43" spans="1:10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</row>
    <row r="44" spans="1:10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</row>
    <row r="45" spans="1:10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</row>
    <row r="46" spans="1:10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</row>
    <row r="47" spans="1:10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</row>
    <row r="48" spans="1:10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</row>
    <row r="49" spans="1:10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</row>
    <row r="50" spans="1:10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</row>
    <row r="51" spans="1:10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</row>
    <row r="52" spans="1:10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</row>
    <row r="53" spans="1:10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</row>
    <row r="54" spans="1:10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</row>
    <row r="55" spans="1:10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</row>
    <row r="56" spans="1:10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</row>
    <row r="57" spans="1:10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</row>
    <row r="58" spans="1:10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</row>
    <row r="59" spans="1:10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</row>
    <row r="60" spans="1:10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</row>
    <row r="61" spans="1:10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</row>
    <row r="62" spans="1:10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</row>
    <row r="63" spans="1:10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</row>
    <row r="64" spans="1:10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</row>
    <row r="65" spans="1:10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</row>
    <row r="66" spans="1:10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</row>
    <row r="67" spans="1:10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</row>
    <row r="68" spans="1:10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</row>
    <row r="69" spans="1:10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</row>
    <row r="70" spans="1:10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</row>
    <row r="71" spans="1:10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</row>
    <row r="72" spans="1:10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10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10" ht="29.4" thickTop="1" x14ac:dyDescent="0.3">
      <c r="A74" s="87" t="s">
        <v>128</v>
      </c>
      <c r="B74" s="147"/>
      <c r="C74" s="48"/>
      <c r="D74" s="50"/>
      <c r="E74" s="50"/>
      <c r="F74" s="48"/>
      <c r="G74" s="105"/>
      <c r="H74" s="75"/>
      <c r="I74" s="68"/>
      <c r="J74" s="48"/>
    </row>
    <row r="75" spans="1:10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</row>
    <row r="76" spans="1:10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</row>
    <row r="77" spans="1:10" ht="28.8" x14ac:dyDescent="0.3">
      <c r="A77" s="63" t="s">
        <v>29</v>
      </c>
      <c r="B77" s="64"/>
      <c r="C77" s="50" t="e">
        <f>B77/C3</f>
        <v>#DIV/0!</v>
      </c>
      <c r="D77" s="50"/>
      <c r="E77" s="50"/>
      <c r="F77" s="48"/>
      <c r="G77" s="105"/>
      <c r="H77" s="75"/>
      <c r="I77" s="68"/>
      <c r="J77" s="48"/>
    </row>
    <row r="78" spans="1:10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</row>
    <row r="79" spans="1:10" x14ac:dyDescent="0.3">
      <c r="A79" s="83" t="s">
        <v>102</v>
      </c>
      <c r="B79" s="64"/>
      <c r="C79" s="48"/>
      <c r="D79" s="50"/>
      <c r="E79" s="50"/>
      <c r="F79" s="48"/>
      <c r="G79" s="105"/>
      <c r="H79" s="78"/>
      <c r="I79" s="79"/>
      <c r="J79" s="48"/>
    </row>
    <row r="80" spans="1:10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</row>
    <row r="81" spans="1:10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</row>
    <row r="82" spans="1:10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</row>
    <row r="83" spans="1:10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</row>
    <row r="84" spans="1:10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  <c r="J84" s="48"/>
    </row>
    <row r="85" spans="1:10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  <c r="J85" s="48"/>
    </row>
    <row r="86" spans="1:10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  <c r="J86" s="48"/>
    </row>
    <row r="87" spans="1:10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  <c r="J87" s="48"/>
    </row>
    <row r="88" spans="1:10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  <c r="J88" s="48"/>
    </row>
    <row r="89" spans="1:10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  <c r="J89" s="48"/>
    </row>
    <row r="90" spans="1:10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  <c r="J90" s="48"/>
    </row>
    <row r="91" spans="1:10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</row>
    <row r="92" spans="1:10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</row>
    <row r="93" spans="1:10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  <c r="J93" s="47"/>
    </row>
    <row r="94" spans="1:10" x14ac:dyDescent="0.3">
      <c r="A94" s="48"/>
      <c r="B94" s="48"/>
      <c r="C94" s="48"/>
      <c r="D94" s="50"/>
      <c r="E94" s="50"/>
      <c r="F94" s="48"/>
      <c r="G94" s="48"/>
      <c r="H94" s="48"/>
      <c r="I94" s="50"/>
    </row>
  </sheetData>
  <mergeCells count="96">
    <mergeCell ref="B26:C26"/>
    <mergeCell ref="A9:B9"/>
    <mergeCell ref="D9:E9"/>
    <mergeCell ref="A11:B11"/>
    <mergeCell ref="A16:C16"/>
    <mergeCell ref="D16:E16"/>
    <mergeCell ref="D11:E11"/>
    <mergeCell ref="A15:C15"/>
    <mergeCell ref="D15:E15"/>
    <mergeCell ref="D12:E12"/>
    <mergeCell ref="A13:C13"/>
    <mergeCell ref="D13:E13"/>
    <mergeCell ref="A12:B12"/>
    <mergeCell ref="A14:C14"/>
    <mergeCell ref="D14:E14"/>
    <mergeCell ref="A10:B10"/>
    <mergeCell ref="D10:E10"/>
    <mergeCell ref="B21:C21"/>
    <mergeCell ref="D21:E21"/>
    <mergeCell ref="B22:C22"/>
    <mergeCell ref="D22:E22"/>
    <mergeCell ref="A17:C17"/>
    <mergeCell ref="D17:E17"/>
    <mergeCell ref="A18:E18"/>
    <mergeCell ref="B23:C23"/>
    <mergeCell ref="D23:E23"/>
    <mergeCell ref="D20:E20"/>
    <mergeCell ref="D19:E19"/>
    <mergeCell ref="B20:C20"/>
    <mergeCell ref="A19:C19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B29:C29"/>
    <mergeCell ref="D29:E29"/>
    <mergeCell ref="B27:C27"/>
    <mergeCell ref="D27:E27"/>
    <mergeCell ref="C50:D50"/>
    <mergeCell ref="C49:D49"/>
    <mergeCell ref="C48:D48"/>
    <mergeCell ref="C46:D46"/>
    <mergeCell ref="C47:D47"/>
    <mergeCell ref="B30:C30"/>
    <mergeCell ref="B31:C31"/>
    <mergeCell ref="D31:E31"/>
    <mergeCell ref="D30:E30"/>
    <mergeCell ref="D32:E32"/>
    <mergeCell ref="C44:D44"/>
    <mergeCell ref="C42:D42"/>
    <mergeCell ref="C68:D68"/>
    <mergeCell ref="A83:E83"/>
    <mergeCell ref="A84:E90"/>
    <mergeCell ref="C67:D67"/>
    <mergeCell ref="C43:D43"/>
    <mergeCell ref="C55:D55"/>
    <mergeCell ref="C51:D51"/>
    <mergeCell ref="C52:D52"/>
    <mergeCell ref="C56:D56"/>
    <mergeCell ref="C57:D57"/>
    <mergeCell ref="C58:D58"/>
    <mergeCell ref="C59:D59"/>
    <mergeCell ref="C53:D53"/>
    <mergeCell ref="C54:D54"/>
    <mergeCell ref="C66:D66"/>
    <mergeCell ref="C45:D45"/>
    <mergeCell ref="B33:C33"/>
    <mergeCell ref="A34:C34"/>
    <mergeCell ref="D34:E34"/>
    <mergeCell ref="C63:D63"/>
    <mergeCell ref="C64:D64"/>
    <mergeCell ref="B28:C28"/>
    <mergeCell ref="C62:D62"/>
    <mergeCell ref="C60:D60"/>
    <mergeCell ref="C61:D61"/>
    <mergeCell ref="C65:D65"/>
    <mergeCell ref="B32:C32"/>
    <mergeCell ref="D33:E33"/>
    <mergeCell ref="B35:E35"/>
    <mergeCell ref="A41:D41"/>
    <mergeCell ref="A20:A33"/>
    <mergeCell ref="B24:C24"/>
    <mergeCell ref="D24:E24"/>
    <mergeCell ref="B25:C25"/>
    <mergeCell ref="D25:E25"/>
    <mergeCell ref="D26:E26"/>
    <mergeCell ref="D28:E2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93"/>
  <sheetViews>
    <sheetView workbookViewId="0">
      <pane xSplit="2" ySplit="2" topLeftCell="C7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B76" sqref="B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6.44140625" style="3" bestFit="1" customWidth="1"/>
    <col min="6" max="6" width="10.33203125" bestFit="1" customWidth="1"/>
    <col min="7" max="7" width="27.88671875" customWidth="1"/>
    <col min="8" max="8" width="36.44140625" customWidth="1"/>
    <col min="9" max="9" width="16.44140625" style="3" customWidth="1"/>
  </cols>
  <sheetData>
    <row r="1" spans="1:9" ht="18" thickBot="1" x14ac:dyDescent="0.5">
      <c r="A1" s="7">
        <f>'22'!A1+1</f>
        <v>46196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9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9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</row>
    <row r="4" spans="1:9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9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9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9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9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9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9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9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9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9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9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9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9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9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x14ac:dyDescent="0.3">
      <c r="A26" s="267"/>
      <c r="B26" s="275"/>
      <c r="C26" s="276"/>
      <c r="D26" s="273"/>
      <c r="E26" s="274"/>
      <c r="F26" s="48"/>
      <c r="G26" s="118"/>
      <c r="H26" s="52"/>
      <c r="I26" s="73"/>
    </row>
    <row r="27" spans="1:9" ht="57.6" customHeight="1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9" ht="14.4" customHeight="1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9" ht="14.4" customHeight="1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9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'22'!E37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'22'!E39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'22'!E40</f>
        <v>0</v>
      </c>
      <c r="C40" s="116">
        <v>750</v>
      </c>
      <c r="D40" s="116">
        <v>750</v>
      </c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9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9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9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9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9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</row>
    <row r="80" spans="1:9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B26:C26"/>
    <mergeCell ref="A9:B9"/>
    <mergeCell ref="D9:E9"/>
    <mergeCell ref="A11:B11"/>
    <mergeCell ref="A16:C16"/>
    <mergeCell ref="D16:E16"/>
    <mergeCell ref="D11:E11"/>
    <mergeCell ref="A15:C15"/>
    <mergeCell ref="D15:E15"/>
    <mergeCell ref="D12:E12"/>
    <mergeCell ref="A13:C13"/>
    <mergeCell ref="D13:E13"/>
    <mergeCell ref="A12:B12"/>
    <mergeCell ref="A14:C14"/>
    <mergeCell ref="D14:E14"/>
    <mergeCell ref="A10:B10"/>
    <mergeCell ref="D10:E10"/>
    <mergeCell ref="B21:C21"/>
    <mergeCell ref="D21:E21"/>
    <mergeCell ref="B22:C22"/>
    <mergeCell ref="D22:E22"/>
    <mergeCell ref="A17:C17"/>
    <mergeCell ref="D17:E17"/>
    <mergeCell ref="A18:E18"/>
    <mergeCell ref="B23:C23"/>
    <mergeCell ref="D23:E23"/>
    <mergeCell ref="D20:E20"/>
    <mergeCell ref="D19:E19"/>
    <mergeCell ref="B20:C20"/>
    <mergeCell ref="A19:C19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B29:C29"/>
    <mergeCell ref="D29:E29"/>
    <mergeCell ref="B27:C27"/>
    <mergeCell ref="D27:E27"/>
    <mergeCell ref="C50:D50"/>
    <mergeCell ref="C49:D49"/>
    <mergeCell ref="C48:D48"/>
    <mergeCell ref="C46:D46"/>
    <mergeCell ref="C47:D47"/>
    <mergeCell ref="B30:C30"/>
    <mergeCell ref="B31:C31"/>
    <mergeCell ref="D31:E31"/>
    <mergeCell ref="D30:E30"/>
    <mergeCell ref="D32:E32"/>
    <mergeCell ref="C44:D44"/>
    <mergeCell ref="C42:D42"/>
    <mergeCell ref="C68:D68"/>
    <mergeCell ref="A83:E83"/>
    <mergeCell ref="A84:E90"/>
    <mergeCell ref="C67:D67"/>
    <mergeCell ref="C43:D43"/>
    <mergeCell ref="C55:D55"/>
    <mergeCell ref="C51:D51"/>
    <mergeCell ref="C52:D52"/>
    <mergeCell ref="C56:D56"/>
    <mergeCell ref="C57:D57"/>
    <mergeCell ref="C58:D58"/>
    <mergeCell ref="C59:D59"/>
    <mergeCell ref="C53:D53"/>
    <mergeCell ref="C54:D54"/>
    <mergeCell ref="C66:D66"/>
    <mergeCell ref="C45:D45"/>
    <mergeCell ref="B33:C33"/>
    <mergeCell ref="A34:C34"/>
    <mergeCell ref="D34:E34"/>
    <mergeCell ref="C63:D63"/>
    <mergeCell ref="C64:D64"/>
    <mergeCell ref="B28:C28"/>
    <mergeCell ref="C62:D62"/>
    <mergeCell ref="C60:D60"/>
    <mergeCell ref="C61:D61"/>
    <mergeCell ref="C65:D65"/>
    <mergeCell ref="B32:C32"/>
    <mergeCell ref="D33:E33"/>
    <mergeCell ref="B35:E35"/>
    <mergeCell ref="A41:D41"/>
    <mergeCell ref="A20:A33"/>
    <mergeCell ref="B24:C24"/>
    <mergeCell ref="D24:E24"/>
    <mergeCell ref="B25:C25"/>
    <mergeCell ref="D25:E25"/>
    <mergeCell ref="D26:E26"/>
    <mergeCell ref="D28:E2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93"/>
  <sheetViews>
    <sheetView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1.44140625" customWidth="1"/>
    <col min="7" max="7" width="27.77734375" customWidth="1"/>
    <col min="8" max="8" width="36.44140625" customWidth="1"/>
    <col min="9" max="9" width="16.44140625" style="3" customWidth="1"/>
  </cols>
  <sheetData>
    <row r="1" spans="1:9" ht="18" thickBot="1" x14ac:dyDescent="0.5">
      <c r="A1" s="7">
        <f>'23'!A1+1</f>
        <v>46197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9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9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</row>
    <row r="4" spans="1:9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9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9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9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9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9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9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9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9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9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9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9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9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9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x14ac:dyDescent="0.3">
      <c r="A26" s="267"/>
      <c r="B26" s="275"/>
      <c r="C26" s="276"/>
      <c r="D26" s="273"/>
      <c r="E26" s="274"/>
      <c r="F26" s="48"/>
      <c r="G26" s="118"/>
      <c r="H26" s="52"/>
      <c r="I26" s="73"/>
    </row>
    <row r="27" spans="1:9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9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9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9" ht="63" customHeight="1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'23'!E37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'23'!E39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'23'!E40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9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9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9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9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9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</row>
    <row r="80" spans="1:9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9:B9"/>
    <mergeCell ref="D9:E9"/>
    <mergeCell ref="B21:C21"/>
    <mergeCell ref="D21:E21"/>
    <mergeCell ref="A14:C14"/>
    <mergeCell ref="D14:E14"/>
    <mergeCell ref="D19:E19"/>
    <mergeCell ref="A16:C16"/>
    <mergeCell ref="D16:E16"/>
    <mergeCell ref="A12:B12"/>
    <mergeCell ref="A17:C17"/>
    <mergeCell ref="D17:E17"/>
    <mergeCell ref="D11:E11"/>
    <mergeCell ref="A15:C15"/>
    <mergeCell ref="D15:E15"/>
    <mergeCell ref="D12:E12"/>
    <mergeCell ref="A13:C13"/>
    <mergeCell ref="D13:E13"/>
    <mergeCell ref="A11:B11"/>
    <mergeCell ref="B29:C29"/>
    <mergeCell ref="D29:E29"/>
    <mergeCell ref="A19:C19"/>
    <mergeCell ref="A20:A33"/>
    <mergeCell ref="D20:E20"/>
    <mergeCell ref="B20:C20"/>
    <mergeCell ref="B22:C22"/>
    <mergeCell ref="D22:E22"/>
    <mergeCell ref="B23:C23"/>
    <mergeCell ref="D23:E23"/>
    <mergeCell ref="B24:C24"/>
    <mergeCell ref="D24:E24"/>
    <mergeCell ref="B30:C30"/>
    <mergeCell ref="C51:D51"/>
    <mergeCell ref="B33:C33"/>
    <mergeCell ref="A34:C34"/>
    <mergeCell ref="D34:E34"/>
    <mergeCell ref="D31:E31"/>
    <mergeCell ref="D32:E32"/>
    <mergeCell ref="B32:C32"/>
    <mergeCell ref="C43:D43"/>
    <mergeCell ref="B31:C31"/>
    <mergeCell ref="C49:D49"/>
    <mergeCell ref="C48:D48"/>
    <mergeCell ref="B35:E35"/>
    <mergeCell ref="A41:D41"/>
    <mergeCell ref="A18:E18"/>
    <mergeCell ref="D30:E30"/>
    <mergeCell ref="B25:C25"/>
    <mergeCell ref="D25:E25"/>
    <mergeCell ref="D26:E26"/>
    <mergeCell ref="B27:C27"/>
    <mergeCell ref="D27:E27"/>
    <mergeCell ref="B28:C28"/>
    <mergeCell ref="D28:E28"/>
    <mergeCell ref="B26:C26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A84:E90"/>
    <mergeCell ref="C57:D57"/>
    <mergeCell ref="C58:D58"/>
    <mergeCell ref="C59:D59"/>
    <mergeCell ref="C62:D62"/>
    <mergeCell ref="C60:D60"/>
    <mergeCell ref="C61:D61"/>
    <mergeCell ref="C65:D65"/>
    <mergeCell ref="C66:D66"/>
    <mergeCell ref="C63:D63"/>
    <mergeCell ref="C64:D64"/>
    <mergeCell ref="A83:E83"/>
    <mergeCell ref="C52:D52"/>
    <mergeCell ref="A10:B10"/>
    <mergeCell ref="D10:E10"/>
    <mergeCell ref="C67:D67"/>
    <mergeCell ref="C68:D68"/>
    <mergeCell ref="C53:D53"/>
    <mergeCell ref="C54:D54"/>
    <mergeCell ref="C55:D55"/>
    <mergeCell ref="C56:D56"/>
    <mergeCell ref="D33:E33"/>
    <mergeCell ref="C50:D50"/>
    <mergeCell ref="C45:D45"/>
    <mergeCell ref="C46:D46"/>
    <mergeCell ref="C47:D47"/>
    <mergeCell ref="C44:D44"/>
    <mergeCell ref="C42:D4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93"/>
  <sheetViews>
    <sheetView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style="48" customWidth="1"/>
    <col min="2" max="2" width="15.109375" style="48" customWidth="1"/>
    <col min="3" max="3" width="21.109375" style="48" customWidth="1"/>
    <col min="4" max="4" width="16.5546875" style="50" customWidth="1"/>
    <col min="5" max="5" width="15.44140625" style="50" customWidth="1"/>
    <col min="6" max="6" width="8.77734375" style="48"/>
    <col min="7" max="7" width="28" style="48" customWidth="1"/>
    <col min="8" max="8" width="36.44140625" style="48" customWidth="1"/>
    <col min="9" max="9" width="16.44140625" style="50" customWidth="1"/>
  </cols>
  <sheetData>
    <row r="1" spans="1:12" ht="18" thickBot="1" x14ac:dyDescent="0.5">
      <c r="A1" s="45">
        <f>'24'!A1+1</f>
        <v>46198</v>
      </c>
      <c r="B1" s="221" t="str">
        <f>'1'!B1:E1</f>
        <v>DADA SALON KABARETT GÜN SONU RAPORU</v>
      </c>
      <c r="C1" s="221"/>
      <c r="D1" s="221"/>
      <c r="E1" s="221"/>
      <c r="F1" s="44"/>
      <c r="G1" s="44"/>
      <c r="H1" s="44"/>
    </row>
    <row r="2" spans="1:12" ht="31.8" thickTop="1" thickBot="1" x14ac:dyDescent="0.5">
      <c r="C2" s="277" t="s">
        <v>17</v>
      </c>
      <c r="D2" s="277"/>
      <c r="E2" s="62">
        <f>D4+D5+D6+D7+D8+D9+D10+D11+D12</f>
        <v>0</v>
      </c>
      <c r="G2" s="70" t="s">
        <v>72</v>
      </c>
      <c r="H2" s="70" t="s">
        <v>9</v>
      </c>
      <c r="I2" s="71" t="s">
        <v>12</v>
      </c>
    </row>
    <row r="3" spans="1:12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G3" s="117"/>
      <c r="H3" s="51"/>
      <c r="I3" s="89"/>
    </row>
    <row r="4" spans="1:12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12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12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12" ht="18.600000000000001" thickTop="1" thickBot="1" x14ac:dyDescent="0.5">
      <c r="A7" s="226" t="s">
        <v>75</v>
      </c>
      <c r="B7" s="227"/>
      <c r="C7" s="119"/>
      <c r="D7" s="222"/>
      <c r="E7" s="223"/>
      <c r="G7" s="118"/>
      <c r="H7" s="52"/>
      <c r="I7" s="73"/>
    </row>
    <row r="8" spans="1:12" ht="18.600000000000001" thickTop="1" thickBot="1" x14ac:dyDescent="0.5">
      <c r="A8" s="226" t="s">
        <v>49</v>
      </c>
      <c r="B8" s="227"/>
      <c r="C8" s="119"/>
      <c r="D8" s="222"/>
      <c r="E8" s="223"/>
      <c r="G8" s="118"/>
      <c r="H8" s="52"/>
      <c r="I8" s="73"/>
      <c r="L8">
        <f>10080/80</f>
        <v>126</v>
      </c>
    </row>
    <row r="9" spans="1:12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12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12" ht="18.600000000000001" thickTop="1" thickBot="1" x14ac:dyDescent="0.5">
      <c r="A11" s="226" t="s">
        <v>47</v>
      </c>
      <c r="B11" s="227"/>
      <c r="C11" s="120"/>
      <c r="D11" s="222"/>
      <c r="E11" s="223"/>
      <c r="G11" s="118"/>
      <c r="H11" s="52"/>
      <c r="I11" s="73"/>
    </row>
    <row r="12" spans="1:12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G12" s="118"/>
      <c r="H12" s="52"/>
      <c r="I12" s="74"/>
    </row>
    <row r="13" spans="1:12" ht="18.600000000000001" thickTop="1" thickBot="1" x14ac:dyDescent="0.5">
      <c r="A13" s="226" t="s">
        <v>38</v>
      </c>
      <c r="B13" s="236"/>
      <c r="C13" s="227"/>
      <c r="D13" s="222"/>
      <c r="E13" s="223"/>
      <c r="G13" s="118"/>
      <c r="H13" s="52"/>
      <c r="I13" s="74"/>
    </row>
    <row r="14" spans="1:12" ht="18.600000000000001" thickTop="1" thickBot="1" x14ac:dyDescent="0.5">
      <c r="A14" s="226" t="s">
        <v>39</v>
      </c>
      <c r="B14" s="236"/>
      <c r="C14" s="227"/>
      <c r="D14" s="222"/>
      <c r="E14" s="223"/>
      <c r="G14" s="118"/>
      <c r="H14" s="52"/>
      <c r="I14" s="74"/>
      <c r="L14">
        <f>12400/80</f>
        <v>155</v>
      </c>
    </row>
    <row r="15" spans="1:12" ht="18.600000000000001" thickTop="1" thickBot="1" x14ac:dyDescent="0.5">
      <c r="A15" s="226" t="s">
        <v>1</v>
      </c>
      <c r="B15" s="236"/>
      <c r="C15" s="227"/>
      <c r="D15" s="281"/>
      <c r="E15" s="281"/>
      <c r="G15" s="118"/>
      <c r="H15" s="52"/>
      <c r="I15" s="73"/>
    </row>
    <row r="16" spans="1:12" ht="18.600000000000001" thickTop="1" thickBot="1" x14ac:dyDescent="0.5">
      <c r="A16" s="226" t="s">
        <v>0</v>
      </c>
      <c r="B16" s="236"/>
      <c r="C16" s="227"/>
      <c r="D16" s="281"/>
      <c r="E16" s="281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G20" s="118"/>
      <c r="H20" s="52"/>
      <c r="I20" s="73"/>
    </row>
    <row r="21" spans="1:9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ht="14.4" customHeigh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ht="14.4" customHeight="1" x14ac:dyDescent="0.3">
      <c r="A26" s="267"/>
      <c r="B26" s="275"/>
      <c r="C26" s="276"/>
      <c r="D26" s="273"/>
      <c r="E26" s="274"/>
      <c r="G26" s="118"/>
      <c r="H26" s="52"/>
      <c r="I26" s="73"/>
    </row>
    <row r="27" spans="1:9" ht="14.4" customHeight="1" x14ac:dyDescent="0.3">
      <c r="A27" s="267"/>
      <c r="B27" s="271"/>
      <c r="C27" s="272"/>
      <c r="D27" s="273"/>
      <c r="E27" s="274"/>
      <c r="G27" s="105"/>
      <c r="H27" s="75"/>
      <c r="I27" s="68"/>
    </row>
    <row r="28" spans="1:9" ht="14.4" customHeight="1" x14ac:dyDescent="0.3">
      <c r="A28" s="267"/>
      <c r="B28" s="245"/>
      <c r="C28" s="246"/>
      <c r="D28" s="237"/>
      <c r="E28" s="238"/>
      <c r="G28" s="105"/>
      <c r="H28" s="75"/>
      <c r="I28" s="68"/>
    </row>
    <row r="29" spans="1:9" x14ac:dyDescent="0.3">
      <c r="A29" s="267"/>
      <c r="B29" s="271"/>
      <c r="C29" s="272"/>
      <c r="D29" s="273"/>
      <c r="E29" s="274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G33" s="105"/>
      <c r="H33" s="75"/>
      <c r="I33" s="68"/>
    </row>
    <row r="34" spans="1:9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'24'!E37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'24'!E39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'24'!E40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G68" s="105"/>
      <c r="H68" s="75"/>
      <c r="I68" s="68"/>
    </row>
    <row r="69" spans="1:9" ht="15.6" thickTop="1" thickBot="1" x14ac:dyDescent="0.35"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G70" s="105"/>
      <c r="H70" s="75"/>
      <c r="I70" s="68"/>
    </row>
    <row r="71" spans="1:9" ht="15" thickTop="1" x14ac:dyDescent="0.3">
      <c r="A71" s="159" t="s">
        <v>95</v>
      </c>
      <c r="B71" s="82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G75" s="105"/>
      <c r="H75" s="75"/>
      <c r="I75" s="68"/>
    </row>
    <row r="76" spans="1:9" ht="28.8" x14ac:dyDescent="0.3">
      <c r="A76" s="88" t="s">
        <v>28</v>
      </c>
      <c r="B76" s="64"/>
      <c r="G76" s="105"/>
      <c r="H76" s="75"/>
      <c r="I76" s="68"/>
    </row>
    <row r="77" spans="1:9" ht="28.8" x14ac:dyDescent="0.3">
      <c r="A77" s="63" t="s">
        <v>29</v>
      </c>
      <c r="B77" s="64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G78" s="105"/>
      <c r="H78" s="78"/>
      <c r="I78" s="79"/>
    </row>
    <row r="79" spans="1:9" x14ac:dyDescent="0.3">
      <c r="A79" s="83" t="s">
        <v>86</v>
      </c>
      <c r="B79" s="64"/>
      <c r="G79" s="105"/>
      <c r="H79" s="78"/>
      <c r="I79" s="79"/>
    </row>
    <row r="80" spans="1:9" ht="15" thickBot="1" x14ac:dyDescent="0.35">
      <c r="A80" s="84"/>
      <c r="B80" s="65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H81" s="85" t="s">
        <v>22</v>
      </c>
      <c r="I81" s="82">
        <f>SUM(I3:I77)</f>
        <v>0</v>
      </c>
    </row>
    <row r="82" spans="1:9" ht="15.6" thickTop="1" thickBot="1" x14ac:dyDescent="0.35"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</row>
    <row r="84" spans="1:9" ht="15.6" thickTop="1" thickBot="1" x14ac:dyDescent="0.35">
      <c r="A84" s="303"/>
      <c r="B84" s="304"/>
      <c r="C84" s="304"/>
      <c r="D84" s="304"/>
      <c r="E84" s="305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</row>
    <row r="86" spans="1:9" ht="15.6" thickTop="1" thickBot="1" x14ac:dyDescent="0.35">
      <c r="A86" s="303"/>
      <c r="B86" s="304"/>
      <c r="C86" s="304"/>
      <c r="D86" s="304"/>
      <c r="E86" s="305"/>
    </row>
    <row r="87" spans="1:9" ht="15.6" thickTop="1" thickBot="1" x14ac:dyDescent="0.35">
      <c r="A87" s="303"/>
      <c r="B87" s="304"/>
      <c r="C87" s="304"/>
      <c r="D87" s="304"/>
      <c r="E87" s="305"/>
    </row>
    <row r="88" spans="1:9" ht="15.6" thickTop="1" thickBot="1" x14ac:dyDescent="0.35">
      <c r="A88" s="303"/>
      <c r="B88" s="304"/>
      <c r="C88" s="304"/>
      <c r="D88" s="304"/>
      <c r="E88" s="305"/>
    </row>
    <row r="89" spans="1:9" ht="15.6" thickTop="1" thickBot="1" x14ac:dyDescent="0.35">
      <c r="A89" s="303"/>
      <c r="B89" s="304"/>
      <c r="C89" s="304"/>
      <c r="D89" s="304"/>
      <c r="E89" s="305"/>
    </row>
    <row r="90" spans="1:9" ht="15.6" thickTop="1" thickBot="1" x14ac:dyDescent="0.35">
      <c r="A90" s="303"/>
      <c r="B90" s="304"/>
      <c r="C90" s="304"/>
      <c r="D90" s="304"/>
      <c r="E90" s="305"/>
    </row>
    <row r="91" spans="1:9" ht="15" thickTop="1" x14ac:dyDescent="0.3"/>
    <row r="93" spans="1:9" x14ac:dyDescent="0.3">
      <c r="A93" s="48" t="s">
        <v>14</v>
      </c>
      <c r="B93" s="48" t="s">
        <v>103</v>
      </c>
    </row>
  </sheetData>
  <mergeCells count="96">
    <mergeCell ref="B26:C26"/>
    <mergeCell ref="A9:B9"/>
    <mergeCell ref="D9:E9"/>
    <mergeCell ref="A11:B11"/>
    <mergeCell ref="A16:C16"/>
    <mergeCell ref="D16:E16"/>
    <mergeCell ref="D11:E11"/>
    <mergeCell ref="A15:C15"/>
    <mergeCell ref="D15:E15"/>
    <mergeCell ref="D12:E12"/>
    <mergeCell ref="A13:C13"/>
    <mergeCell ref="D13:E13"/>
    <mergeCell ref="A12:B12"/>
    <mergeCell ref="A14:C14"/>
    <mergeCell ref="D14:E14"/>
    <mergeCell ref="A10:B10"/>
    <mergeCell ref="D10:E10"/>
    <mergeCell ref="B21:C21"/>
    <mergeCell ref="D21:E21"/>
    <mergeCell ref="B22:C22"/>
    <mergeCell ref="D22:E22"/>
    <mergeCell ref="A17:C17"/>
    <mergeCell ref="D17:E17"/>
    <mergeCell ref="A18:E18"/>
    <mergeCell ref="B23:C23"/>
    <mergeCell ref="D23:E23"/>
    <mergeCell ref="D20:E20"/>
    <mergeCell ref="D19:E19"/>
    <mergeCell ref="B20:C20"/>
    <mergeCell ref="A19:C19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B29:C29"/>
    <mergeCell ref="D29:E29"/>
    <mergeCell ref="B27:C27"/>
    <mergeCell ref="D27:E27"/>
    <mergeCell ref="C50:D50"/>
    <mergeCell ref="C49:D49"/>
    <mergeCell ref="C48:D48"/>
    <mergeCell ref="C46:D46"/>
    <mergeCell ref="C47:D47"/>
    <mergeCell ref="B30:C30"/>
    <mergeCell ref="B31:C31"/>
    <mergeCell ref="D31:E31"/>
    <mergeCell ref="D30:E30"/>
    <mergeCell ref="D32:E32"/>
    <mergeCell ref="C44:D44"/>
    <mergeCell ref="C42:D42"/>
    <mergeCell ref="C68:D68"/>
    <mergeCell ref="A83:E83"/>
    <mergeCell ref="A84:E90"/>
    <mergeCell ref="C67:D67"/>
    <mergeCell ref="C43:D43"/>
    <mergeCell ref="C55:D55"/>
    <mergeCell ref="C51:D51"/>
    <mergeCell ref="C52:D52"/>
    <mergeCell ref="C56:D56"/>
    <mergeCell ref="C57:D57"/>
    <mergeCell ref="C58:D58"/>
    <mergeCell ref="C59:D59"/>
    <mergeCell ref="C53:D53"/>
    <mergeCell ref="C54:D54"/>
    <mergeCell ref="C66:D66"/>
    <mergeCell ref="C45:D45"/>
    <mergeCell ref="B33:C33"/>
    <mergeCell ref="A34:C34"/>
    <mergeCell ref="D34:E34"/>
    <mergeCell ref="C63:D63"/>
    <mergeCell ref="C64:D64"/>
    <mergeCell ref="B28:C28"/>
    <mergeCell ref="C62:D62"/>
    <mergeCell ref="C60:D60"/>
    <mergeCell ref="C61:D61"/>
    <mergeCell ref="C65:D65"/>
    <mergeCell ref="B32:C32"/>
    <mergeCell ref="D33:E33"/>
    <mergeCell ref="B35:E35"/>
    <mergeCell ref="A41:D41"/>
    <mergeCell ref="A20:A33"/>
    <mergeCell ref="B24:C24"/>
    <mergeCell ref="D24:E24"/>
    <mergeCell ref="B25:C25"/>
    <mergeCell ref="D25:E25"/>
    <mergeCell ref="D26:E26"/>
    <mergeCell ref="D28:E2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93"/>
  <sheetViews>
    <sheetView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3.77734375" bestFit="1" customWidth="1"/>
    <col min="7" max="7" width="27.33203125" customWidth="1"/>
    <col min="8" max="8" width="34.33203125" customWidth="1"/>
    <col min="9" max="9" width="20.109375" style="3" customWidth="1"/>
    <col min="11" max="11" width="4" bestFit="1" customWidth="1"/>
    <col min="13" max="13" width="10" bestFit="1" customWidth="1"/>
    <col min="14" max="14" width="11" bestFit="1" customWidth="1"/>
  </cols>
  <sheetData>
    <row r="1" spans="1:14" ht="18" thickBot="1" x14ac:dyDescent="0.5">
      <c r="A1" s="7">
        <f>'25'!A1+1</f>
        <v>46199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14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  <c r="J2" s="48"/>
      <c r="K2" s="48"/>
      <c r="L2" s="48"/>
      <c r="M2" s="48"/>
      <c r="N2" s="48"/>
    </row>
    <row r="3" spans="1:14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  <c r="J3" s="48"/>
      <c r="K3" s="48"/>
      <c r="L3" s="48"/>
      <c r="M3" s="48"/>
      <c r="N3" s="48"/>
    </row>
    <row r="4" spans="1:14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  <c r="J4" s="48"/>
      <c r="K4" s="48"/>
      <c r="L4" s="48"/>
      <c r="M4" s="48"/>
      <c r="N4" s="48"/>
    </row>
    <row r="5" spans="1:14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14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14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  <c r="J7" s="48"/>
      <c r="K7" s="48"/>
      <c r="L7" s="48"/>
      <c r="M7" s="48"/>
      <c r="N7" s="48"/>
    </row>
    <row r="8" spans="1:14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  <c r="J8" s="48"/>
      <c r="K8" s="48"/>
      <c r="L8" s="48"/>
      <c r="M8" s="48"/>
      <c r="N8" s="48"/>
    </row>
    <row r="9" spans="1:14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14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14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  <c r="J11" s="48"/>
      <c r="K11" s="48"/>
      <c r="L11" s="48"/>
      <c r="M11" s="48"/>
      <c r="N11" s="48"/>
    </row>
    <row r="12" spans="1:14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  <c r="J12" s="48"/>
      <c r="K12" s="48"/>
      <c r="L12" s="50"/>
      <c r="M12" s="50"/>
      <c r="N12" s="50"/>
    </row>
    <row r="13" spans="1:14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  <c r="J13" s="48"/>
      <c r="K13" s="48"/>
      <c r="L13" s="48"/>
      <c r="M13" s="48"/>
      <c r="N13" s="48"/>
    </row>
    <row r="14" spans="1:14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  <c r="J14" s="48"/>
      <c r="K14" s="48"/>
      <c r="L14" s="48"/>
      <c r="M14" s="48"/>
      <c r="N14" s="48"/>
    </row>
    <row r="15" spans="1:14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  <c r="J15" s="48"/>
      <c r="K15" s="48"/>
      <c r="L15" s="48"/>
      <c r="M15" s="48"/>
      <c r="N15" s="48"/>
    </row>
    <row r="16" spans="1:14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  <c r="J16" s="48"/>
      <c r="K16" s="48"/>
      <c r="L16" s="48"/>
      <c r="M16" s="48"/>
      <c r="N16" s="48"/>
    </row>
    <row r="17" spans="1:14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  <c r="J17" s="48"/>
      <c r="K17" s="48"/>
      <c r="L17" s="48"/>
      <c r="M17" s="48"/>
      <c r="N17" s="48"/>
    </row>
    <row r="18" spans="1:14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  <c r="J18" s="48"/>
      <c r="K18" s="48"/>
      <c r="L18" s="48"/>
      <c r="M18" s="48"/>
      <c r="N18" s="48"/>
    </row>
    <row r="19" spans="1:14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  <c r="J19" s="48"/>
      <c r="K19" s="48"/>
      <c r="L19" s="48"/>
      <c r="M19" s="48"/>
      <c r="N19" s="50"/>
    </row>
    <row r="20" spans="1:14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  <c r="J20" s="48"/>
      <c r="K20" s="48"/>
      <c r="L20" s="48"/>
      <c r="M20" s="48"/>
      <c r="N20" s="48"/>
    </row>
    <row r="21" spans="1:14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  <c r="J21" s="48"/>
      <c r="K21" s="48"/>
      <c r="L21" s="48"/>
      <c r="M21" s="48"/>
      <c r="N21" s="48"/>
    </row>
    <row r="22" spans="1:14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  <c r="J22" s="48"/>
      <c r="K22" s="48"/>
      <c r="L22" s="48"/>
      <c r="M22" s="48"/>
      <c r="N22" s="48"/>
    </row>
    <row r="23" spans="1:14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  <c r="J23" s="48"/>
      <c r="K23" s="48"/>
      <c r="L23" s="48"/>
      <c r="M23" s="48"/>
      <c r="N23" s="48"/>
    </row>
    <row r="24" spans="1:14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  <c r="J24" s="48"/>
      <c r="K24" s="48"/>
      <c r="L24" s="48"/>
      <c r="M24" s="48"/>
      <c r="N24" s="48"/>
    </row>
    <row r="25" spans="1:14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  <c r="J25" s="48"/>
      <c r="K25" s="48"/>
      <c r="L25" s="48"/>
      <c r="M25" s="48"/>
      <c r="N25" s="48"/>
    </row>
    <row r="26" spans="1:14" x14ac:dyDescent="0.3">
      <c r="A26" s="267"/>
      <c r="B26" s="275"/>
      <c r="C26" s="276"/>
      <c r="D26" s="273"/>
      <c r="E26" s="274"/>
      <c r="F26" s="48"/>
      <c r="G26" s="118"/>
      <c r="H26" s="52"/>
      <c r="I26" s="73"/>
      <c r="J26" s="48"/>
      <c r="K26" s="48"/>
      <c r="L26" s="48"/>
      <c r="M26" s="48"/>
      <c r="N26" s="48"/>
    </row>
    <row r="27" spans="1:14" x14ac:dyDescent="0.3">
      <c r="A27" s="267"/>
      <c r="B27" s="271"/>
      <c r="C27" s="272"/>
      <c r="D27" s="273"/>
      <c r="E27" s="274"/>
      <c r="F27" s="48"/>
      <c r="G27" s="105"/>
      <c r="H27" s="75"/>
      <c r="I27" s="68"/>
      <c r="J27" s="48"/>
      <c r="K27" s="48"/>
      <c r="L27" s="48"/>
      <c r="M27" s="48"/>
      <c r="N27" s="48"/>
    </row>
    <row r="28" spans="1:14" x14ac:dyDescent="0.3">
      <c r="A28" s="267"/>
      <c r="B28" s="245"/>
      <c r="C28" s="246"/>
      <c r="D28" s="237"/>
      <c r="E28" s="238"/>
      <c r="F28" s="48"/>
      <c r="G28" s="105"/>
      <c r="H28" s="75"/>
      <c r="I28" s="68"/>
      <c r="J28" s="48"/>
      <c r="K28" s="48"/>
      <c r="L28" s="48"/>
      <c r="M28" s="48"/>
      <c r="N28" s="48"/>
    </row>
    <row r="29" spans="1:14" x14ac:dyDescent="0.3">
      <c r="A29" s="267"/>
      <c r="B29" s="271"/>
      <c r="C29" s="272"/>
      <c r="D29" s="273"/>
      <c r="E29" s="274"/>
      <c r="F29" s="48"/>
      <c r="G29" s="105"/>
      <c r="H29" s="75"/>
      <c r="I29" s="68"/>
      <c r="J29" s="48"/>
      <c r="K29" s="48"/>
      <c r="L29" s="48"/>
      <c r="M29" s="48"/>
      <c r="N29" s="48"/>
    </row>
    <row r="30" spans="1:14" x14ac:dyDescent="0.3">
      <c r="A30" s="267"/>
      <c r="B30" s="230"/>
      <c r="C30" s="231"/>
      <c r="D30" s="228"/>
      <c r="E30" s="229"/>
      <c r="F30" s="48"/>
      <c r="G30" s="105"/>
      <c r="H30" s="75"/>
      <c r="I30" s="68"/>
      <c r="J30" s="48"/>
      <c r="K30" s="48"/>
      <c r="L30" s="48"/>
      <c r="M30" s="48"/>
      <c r="N30" s="48"/>
    </row>
    <row r="31" spans="1:14" x14ac:dyDescent="0.3">
      <c r="A31" s="267"/>
      <c r="B31" s="230"/>
      <c r="C31" s="231"/>
      <c r="D31" s="228"/>
      <c r="E31" s="229"/>
      <c r="F31" s="48"/>
      <c r="G31" s="105"/>
      <c r="H31" s="75"/>
      <c r="I31" s="68"/>
      <c r="J31" s="48"/>
      <c r="K31" s="48"/>
      <c r="L31" s="48"/>
      <c r="M31" s="48"/>
      <c r="N31" s="48"/>
    </row>
    <row r="32" spans="1:14" x14ac:dyDescent="0.3">
      <c r="A32" s="267"/>
      <c r="B32" s="230"/>
      <c r="C32" s="231"/>
      <c r="D32" s="228"/>
      <c r="E32" s="229"/>
      <c r="F32" s="48"/>
      <c r="G32" s="105"/>
      <c r="H32" s="75"/>
      <c r="I32" s="68"/>
      <c r="J32" s="48"/>
      <c r="K32" s="48"/>
      <c r="L32" s="48"/>
      <c r="M32" s="48"/>
      <c r="N32" s="48"/>
    </row>
    <row r="33" spans="1:14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  <c r="J33" s="48"/>
      <c r="K33" s="48"/>
      <c r="L33" s="48"/>
      <c r="M33" s="48"/>
      <c r="N33" s="48"/>
    </row>
    <row r="34" spans="1:14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  <c r="J34" s="48"/>
      <c r="K34" s="48"/>
      <c r="L34" s="48"/>
      <c r="M34" s="48"/>
      <c r="N34" s="48"/>
    </row>
    <row r="35" spans="1:14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14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14" s="48" customFormat="1" ht="18.600000000000001" thickTop="1" thickBot="1" x14ac:dyDescent="0.5">
      <c r="A37" s="127">
        <f>'25'!E37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14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14" s="48" customFormat="1" ht="18.600000000000001" thickTop="1" thickBot="1" x14ac:dyDescent="0.35">
      <c r="A39" s="59" t="s">
        <v>73</v>
      </c>
      <c r="B39" s="116">
        <f>'25'!E39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14" ht="18.600000000000001" thickTop="1" thickBot="1" x14ac:dyDescent="0.35">
      <c r="A40" s="59" t="s">
        <v>111</v>
      </c>
      <c r="B40" s="116">
        <f>'25'!E40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  <c r="J40" s="48"/>
      <c r="K40" s="48"/>
      <c r="L40" s="48"/>
      <c r="M40" s="48"/>
      <c r="N40" s="48"/>
    </row>
    <row r="41" spans="1:14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  <c r="J41" s="48"/>
      <c r="K41" s="48"/>
      <c r="L41" s="48"/>
      <c r="M41" s="48"/>
      <c r="N41" s="48"/>
    </row>
    <row r="42" spans="1:14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  <c r="J42" s="48"/>
      <c r="K42" s="48"/>
      <c r="L42" s="48"/>
      <c r="M42" s="48"/>
      <c r="N42" s="48"/>
    </row>
    <row r="43" spans="1:14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  <c r="J43" s="48"/>
      <c r="K43" s="48"/>
      <c r="L43" s="48"/>
      <c r="M43" s="48"/>
      <c r="N43" s="48"/>
    </row>
    <row r="44" spans="1:14" x14ac:dyDescent="0.3">
      <c r="A44" s="52"/>
      <c r="B44" s="57"/>
      <c r="C44" s="205"/>
      <c r="D44" s="206"/>
      <c r="E44" s="55"/>
      <c r="F44" s="48"/>
      <c r="G44" s="105"/>
      <c r="H44" s="75"/>
      <c r="I44" s="68"/>
      <c r="J44" s="48"/>
      <c r="K44" s="48"/>
      <c r="L44" s="48"/>
      <c r="M44" s="48"/>
      <c r="N44" s="48"/>
    </row>
    <row r="45" spans="1:14" x14ac:dyDescent="0.3">
      <c r="A45" s="52"/>
      <c r="B45" s="57"/>
      <c r="C45" s="205"/>
      <c r="D45" s="206"/>
      <c r="E45" s="55"/>
      <c r="F45" s="48"/>
      <c r="G45" s="105"/>
      <c r="H45" s="75"/>
      <c r="I45" s="68"/>
      <c r="J45" s="48"/>
      <c r="K45" s="48"/>
      <c r="L45" s="48"/>
      <c r="M45" s="48"/>
      <c r="N45" s="48"/>
    </row>
    <row r="46" spans="1:14" x14ac:dyDescent="0.3">
      <c r="A46" s="52"/>
      <c r="B46" s="57"/>
      <c r="C46" s="205"/>
      <c r="D46" s="206"/>
      <c r="E46" s="55"/>
      <c r="F46" s="48"/>
      <c r="G46" s="105"/>
      <c r="H46" s="75"/>
      <c r="I46" s="68"/>
      <c r="J46" s="48"/>
      <c r="K46" s="48"/>
      <c r="L46" s="48"/>
      <c r="M46" s="48"/>
      <c r="N46" s="48"/>
    </row>
    <row r="47" spans="1:14" x14ac:dyDescent="0.3">
      <c r="A47" s="52"/>
      <c r="B47" s="57"/>
      <c r="C47" s="205"/>
      <c r="D47" s="206"/>
      <c r="E47" s="55"/>
      <c r="F47" s="48"/>
      <c r="G47" s="105"/>
      <c r="H47" s="75"/>
      <c r="I47" s="68"/>
      <c r="J47" s="48"/>
      <c r="K47" s="48"/>
      <c r="L47" s="48"/>
      <c r="M47" s="48"/>
      <c r="N47" s="48"/>
    </row>
    <row r="48" spans="1:14" x14ac:dyDescent="0.3">
      <c r="A48" s="52"/>
      <c r="B48" s="57"/>
      <c r="C48" s="205"/>
      <c r="D48" s="206"/>
      <c r="E48" s="55"/>
      <c r="F48" s="48"/>
      <c r="G48" s="105"/>
      <c r="H48" s="75"/>
      <c r="I48" s="68"/>
      <c r="J48" s="48"/>
      <c r="K48" s="48"/>
      <c r="L48" s="48"/>
      <c r="M48" s="48"/>
      <c r="N48" s="48"/>
    </row>
    <row r="49" spans="1:14" x14ac:dyDescent="0.3">
      <c r="A49" s="52"/>
      <c r="B49" s="57"/>
      <c r="C49" s="205"/>
      <c r="D49" s="206"/>
      <c r="E49" s="55"/>
      <c r="F49" s="48"/>
      <c r="G49" s="105"/>
      <c r="H49" s="75"/>
      <c r="I49" s="68"/>
      <c r="J49" s="48"/>
      <c r="K49" s="48"/>
      <c r="L49" s="48"/>
      <c r="M49" s="48"/>
      <c r="N49" s="48"/>
    </row>
    <row r="50" spans="1:14" x14ac:dyDescent="0.3">
      <c r="A50" s="52"/>
      <c r="B50" s="57"/>
      <c r="C50" s="205"/>
      <c r="D50" s="206"/>
      <c r="E50" s="55"/>
      <c r="F50" s="48"/>
      <c r="G50" s="105"/>
      <c r="H50" s="75"/>
      <c r="I50" s="68"/>
      <c r="J50" s="48"/>
      <c r="K50" s="48"/>
      <c r="L50" s="48"/>
      <c r="M50" s="48"/>
      <c r="N50" s="48"/>
    </row>
    <row r="51" spans="1:14" x14ac:dyDescent="0.3">
      <c r="A51" s="52"/>
      <c r="B51" s="57"/>
      <c r="C51" s="205"/>
      <c r="D51" s="206"/>
      <c r="E51" s="55"/>
      <c r="F51" s="48"/>
      <c r="G51" s="105"/>
      <c r="H51" s="75"/>
      <c r="I51" s="68"/>
      <c r="J51" s="48"/>
      <c r="K51" s="48"/>
      <c r="L51" s="48"/>
      <c r="M51" s="48"/>
      <c r="N51" s="48"/>
    </row>
    <row r="52" spans="1:14" x14ac:dyDescent="0.3">
      <c r="A52" s="52"/>
      <c r="B52" s="57"/>
      <c r="C52" s="205"/>
      <c r="D52" s="206"/>
      <c r="E52" s="55"/>
      <c r="F52" s="48"/>
      <c r="G52" s="105"/>
      <c r="H52" s="75"/>
      <c r="I52" s="68"/>
      <c r="J52" s="48"/>
      <c r="K52" s="48"/>
      <c r="L52" s="48"/>
      <c r="M52" s="48"/>
      <c r="N52" s="48"/>
    </row>
    <row r="53" spans="1:14" x14ac:dyDescent="0.3">
      <c r="A53" s="52"/>
      <c r="B53" s="57"/>
      <c r="C53" s="205"/>
      <c r="D53" s="206"/>
      <c r="E53" s="55"/>
      <c r="F53" s="48"/>
      <c r="G53" s="105"/>
      <c r="H53" s="75"/>
      <c r="I53" s="68"/>
      <c r="J53" s="48"/>
      <c r="K53" s="48"/>
      <c r="L53" s="48"/>
      <c r="M53" s="48"/>
      <c r="N53" s="48"/>
    </row>
    <row r="54" spans="1:14" x14ac:dyDescent="0.3">
      <c r="A54" s="52"/>
      <c r="B54" s="57"/>
      <c r="C54" s="205"/>
      <c r="D54" s="206"/>
      <c r="E54" s="55"/>
      <c r="F54" s="48"/>
      <c r="G54" s="105"/>
      <c r="H54" s="75"/>
      <c r="I54" s="68"/>
      <c r="J54" s="48"/>
      <c r="K54" s="48"/>
      <c r="L54" s="48"/>
      <c r="M54" s="48"/>
      <c r="N54" s="48"/>
    </row>
    <row r="55" spans="1:14" x14ac:dyDescent="0.3">
      <c r="A55" s="52"/>
      <c r="B55" s="57"/>
      <c r="C55" s="205"/>
      <c r="D55" s="206"/>
      <c r="E55" s="55"/>
      <c r="F55" s="48"/>
      <c r="G55" s="105"/>
      <c r="H55" s="75"/>
      <c r="I55" s="68"/>
      <c r="J55" s="48"/>
      <c r="K55" s="48"/>
      <c r="L55" s="48"/>
      <c r="M55" s="48"/>
      <c r="N55" s="48"/>
    </row>
    <row r="56" spans="1:14" x14ac:dyDescent="0.3">
      <c r="A56" s="52"/>
      <c r="B56" s="57"/>
      <c r="C56" s="205"/>
      <c r="D56" s="206"/>
      <c r="E56" s="55"/>
      <c r="F56" s="48"/>
      <c r="G56" s="105"/>
      <c r="H56" s="75"/>
      <c r="I56" s="68"/>
      <c r="J56" s="48"/>
      <c r="K56" s="48"/>
      <c r="L56" s="48"/>
      <c r="M56" s="48"/>
      <c r="N56" s="48"/>
    </row>
    <row r="57" spans="1:14" x14ac:dyDescent="0.3">
      <c r="A57" s="52"/>
      <c r="B57" s="57"/>
      <c r="C57" s="205"/>
      <c r="D57" s="206"/>
      <c r="E57" s="55"/>
      <c r="F57" s="48"/>
      <c r="G57" s="105"/>
      <c r="H57" s="75"/>
      <c r="I57" s="68"/>
      <c r="J57" s="48"/>
      <c r="K57" s="48"/>
      <c r="L57" s="48"/>
      <c r="M57" s="48"/>
      <c r="N57" s="48"/>
    </row>
    <row r="58" spans="1:14" x14ac:dyDescent="0.3">
      <c r="A58" s="52"/>
      <c r="B58" s="57"/>
      <c r="C58" s="205"/>
      <c r="D58" s="206"/>
      <c r="E58" s="55"/>
      <c r="F58" s="48"/>
      <c r="G58" s="105"/>
      <c r="H58" s="75"/>
      <c r="I58" s="68"/>
      <c r="J58" s="48"/>
      <c r="K58" s="48"/>
      <c r="L58" s="48"/>
      <c r="M58" s="48"/>
      <c r="N58" s="48"/>
    </row>
    <row r="59" spans="1:14" x14ac:dyDescent="0.3">
      <c r="A59" s="52"/>
      <c r="B59" s="57"/>
      <c r="C59" s="205"/>
      <c r="D59" s="206"/>
      <c r="E59" s="55"/>
      <c r="F59" s="48"/>
      <c r="G59" s="105"/>
      <c r="H59" s="75"/>
      <c r="I59" s="68"/>
      <c r="J59" s="48"/>
      <c r="K59" s="48"/>
      <c r="L59" s="48"/>
      <c r="M59" s="48"/>
      <c r="N59" s="48"/>
    </row>
    <row r="60" spans="1:14" x14ac:dyDescent="0.3">
      <c r="A60" s="52"/>
      <c r="B60" s="57"/>
      <c r="C60" s="205"/>
      <c r="D60" s="206"/>
      <c r="E60" s="55"/>
      <c r="F60" s="48"/>
      <c r="G60" s="105"/>
      <c r="H60" s="75"/>
      <c r="I60" s="68"/>
      <c r="J60" s="48"/>
      <c r="K60" s="48"/>
      <c r="L60" s="48"/>
      <c r="M60" s="48"/>
      <c r="N60" s="48"/>
    </row>
    <row r="61" spans="1:14" x14ac:dyDescent="0.3">
      <c r="A61" s="52"/>
      <c r="B61" s="57"/>
      <c r="C61" s="205"/>
      <c r="D61" s="206"/>
      <c r="E61" s="55"/>
      <c r="F61" s="48"/>
      <c r="G61" s="105"/>
      <c r="H61" s="75"/>
      <c r="I61" s="68"/>
      <c r="J61" s="48"/>
      <c r="K61" s="48"/>
      <c r="L61" s="48"/>
      <c r="M61" s="48"/>
      <c r="N61" s="48"/>
    </row>
    <row r="62" spans="1:14" x14ac:dyDescent="0.3">
      <c r="A62" s="52"/>
      <c r="B62" s="57"/>
      <c r="C62" s="205"/>
      <c r="D62" s="206"/>
      <c r="E62" s="55"/>
      <c r="F62" s="48"/>
      <c r="G62" s="105"/>
      <c r="H62" s="75"/>
      <c r="I62" s="68"/>
      <c r="J62" s="48"/>
      <c r="K62" s="48"/>
      <c r="L62" s="48"/>
      <c r="M62" s="48"/>
      <c r="N62" s="48"/>
    </row>
    <row r="63" spans="1:14" x14ac:dyDescent="0.3">
      <c r="A63" s="52"/>
      <c r="B63" s="57"/>
      <c r="C63" s="205"/>
      <c r="D63" s="206"/>
      <c r="E63" s="55"/>
      <c r="F63" s="48"/>
      <c r="G63" s="105"/>
      <c r="H63" s="75"/>
      <c r="I63" s="68"/>
      <c r="J63" s="48"/>
      <c r="K63" s="48"/>
      <c r="L63" s="48"/>
      <c r="M63" s="48"/>
      <c r="N63" s="48"/>
    </row>
    <row r="64" spans="1:14" x14ac:dyDescent="0.3">
      <c r="A64" s="52"/>
      <c r="B64" s="57"/>
      <c r="C64" s="205"/>
      <c r="D64" s="206"/>
      <c r="E64" s="55"/>
      <c r="F64" s="48"/>
      <c r="G64" s="105"/>
      <c r="H64" s="75"/>
      <c r="I64" s="68"/>
      <c r="J64" s="48"/>
      <c r="K64" s="48"/>
      <c r="L64" s="48"/>
      <c r="M64" s="48"/>
      <c r="N64" s="48"/>
    </row>
    <row r="65" spans="1:14" x14ac:dyDescent="0.3">
      <c r="A65" s="52"/>
      <c r="B65" s="57"/>
      <c r="C65" s="205"/>
      <c r="D65" s="206"/>
      <c r="E65" s="55"/>
      <c r="F65" s="48"/>
      <c r="G65" s="105"/>
      <c r="H65" s="75"/>
      <c r="I65" s="68"/>
      <c r="J65" s="48"/>
      <c r="K65" s="48"/>
      <c r="L65" s="48"/>
      <c r="M65" s="48"/>
      <c r="N65" s="48"/>
    </row>
    <row r="66" spans="1:14" x14ac:dyDescent="0.3">
      <c r="A66" s="52"/>
      <c r="B66" s="57"/>
      <c r="C66" s="205"/>
      <c r="D66" s="206"/>
      <c r="E66" s="55"/>
      <c r="F66" s="48"/>
      <c r="G66" s="105"/>
      <c r="H66" s="75"/>
      <c r="I66" s="68"/>
      <c r="J66" s="48"/>
      <c r="K66" s="48"/>
      <c r="L66" s="48"/>
      <c r="M66" s="48"/>
      <c r="N66" s="48"/>
    </row>
    <row r="67" spans="1:14" x14ac:dyDescent="0.3">
      <c r="A67" s="52"/>
      <c r="B67" s="57"/>
      <c r="C67" s="205"/>
      <c r="D67" s="206"/>
      <c r="E67" s="55"/>
      <c r="F67" s="48"/>
      <c r="G67" s="105"/>
      <c r="H67" s="75"/>
      <c r="I67" s="68"/>
      <c r="J67" s="48"/>
      <c r="K67" s="48"/>
      <c r="L67" s="48"/>
      <c r="M67" s="48"/>
      <c r="N67" s="48"/>
    </row>
    <row r="68" spans="1:14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  <c r="J68" s="48"/>
      <c r="K68" s="48"/>
      <c r="L68" s="48"/>
      <c r="M68" s="48"/>
      <c r="N68" s="48"/>
    </row>
    <row r="69" spans="1:14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  <c r="J69" s="48"/>
      <c r="K69" s="48"/>
      <c r="L69" s="48"/>
      <c r="M69" s="48"/>
      <c r="N69" s="48"/>
    </row>
    <row r="70" spans="1:14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  <c r="J70" s="48"/>
      <c r="K70" s="48"/>
      <c r="L70" s="48"/>
      <c r="M70" s="48"/>
      <c r="N70" s="48"/>
    </row>
    <row r="71" spans="1:14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  <c r="J71" s="48"/>
      <c r="K71" s="48"/>
      <c r="L71" s="48"/>
      <c r="M71" s="48"/>
      <c r="N71" s="48"/>
    </row>
    <row r="72" spans="1:14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14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14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  <c r="J74" s="48"/>
      <c r="K74" s="48"/>
      <c r="L74" s="48"/>
      <c r="M74" s="48"/>
      <c r="N74" s="48"/>
    </row>
    <row r="75" spans="1:14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  <c r="J75" s="48"/>
      <c r="K75" s="48"/>
      <c r="L75" s="48"/>
      <c r="M75" s="48"/>
      <c r="N75" s="48"/>
    </row>
    <row r="76" spans="1:14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  <c r="J76" s="48"/>
      <c r="K76" s="48"/>
      <c r="L76" s="48"/>
      <c r="M76" s="48"/>
      <c r="N76" s="48"/>
    </row>
    <row r="77" spans="1:14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  <c r="J77" s="48"/>
      <c r="K77" s="48"/>
      <c r="L77" s="48"/>
      <c r="M77" s="48"/>
      <c r="N77" s="48"/>
    </row>
    <row r="78" spans="1:14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  <c r="J78" s="48"/>
      <c r="K78" s="48"/>
      <c r="L78" s="48"/>
      <c r="M78" s="48"/>
      <c r="N78" s="48"/>
    </row>
    <row r="79" spans="1:14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  <c r="J79" s="48"/>
      <c r="K79" s="48"/>
      <c r="L79" s="48"/>
      <c r="M79" s="48"/>
      <c r="N79" s="48"/>
    </row>
    <row r="80" spans="1:14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  <c r="J80" s="48"/>
      <c r="K80" s="48"/>
      <c r="L80" s="48"/>
      <c r="M80" s="48"/>
      <c r="N80" s="48"/>
    </row>
    <row r="81" spans="1:14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  <c r="J81" s="48"/>
      <c r="K81" s="48"/>
      <c r="L81" s="48"/>
      <c r="M81" s="48"/>
      <c r="N81" s="48"/>
    </row>
    <row r="82" spans="1:14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  <c r="J82" s="48"/>
      <c r="K82" s="48"/>
      <c r="L82" s="48"/>
      <c r="M82" s="48"/>
      <c r="N82" s="48"/>
    </row>
    <row r="83" spans="1:14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  <c r="J83" s="48"/>
      <c r="K83" s="48"/>
      <c r="L83" s="48"/>
      <c r="M83" s="48"/>
      <c r="N83" s="48"/>
    </row>
    <row r="84" spans="1:14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  <c r="J84" s="48"/>
      <c r="K84" s="48"/>
      <c r="L84" s="48"/>
      <c r="M84" s="48"/>
      <c r="N84" s="48"/>
    </row>
    <row r="85" spans="1:14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  <c r="J85" s="48"/>
      <c r="K85" s="48"/>
      <c r="L85" s="48"/>
      <c r="M85" s="48"/>
      <c r="N85" s="48"/>
    </row>
    <row r="86" spans="1:14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  <c r="J86" s="48"/>
      <c r="K86" s="48"/>
      <c r="L86" s="48"/>
      <c r="M86" s="48"/>
      <c r="N86" s="48"/>
    </row>
    <row r="87" spans="1:14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  <c r="J87" s="48"/>
      <c r="K87" s="48"/>
      <c r="L87" s="48"/>
      <c r="M87" s="48"/>
      <c r="N87" s="48"/>
    </row>
    <row r="88" spans="1:14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  <c r="J88" s="48"/>
      <c r="K88" s="48"/>
      <c r="L88" s="48"/>
      <c r="M88" s="48"/>
      <c r="N88" s="48"/>
    </row>
    <row r="89" spans="1:14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  <c r="J89" s="48"/>
      <c r="K89" s="48"/>
      <c r="L89" s="48"/>
      <c r="M89" s="48"/>
      <c r="N89" s="48"/>
    </row>
    <row r="90" spans="1:14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  <c r="J90" s="48"/>
      <c r="K90" s="48"/>
      <c r="L90" s="48"/>
      <c r="M90" s="48"/>
      <c r="N90" s="48"/>
    </row>
    <row r="91" spans="1:14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  <c r="J91" s="48"/>
      <c r="K91" s="48"/>
      <c r="L91" s="48"/>
      <c r="M91" s="48"/>
      <c r="N91" s="48"/>
    </row>
    <row r="92" spans="1:14" x14ac:dyDescent="0.3">
      <c r="A92" s="48"/>
      <c r="B92" s="48"/>
      <c r="C92" s="48"/>
      <c r="D92" s="50"/>
      <c r="E92" s="50"/>
      <c r="F92" s="48"/>
      <c r="G92" s="48"/>
      <c r="H92" s="48"/>
      <c r="I92" s="50"/>
      <c r="J92" s="48"/>
      <c r="K92" s="48"/>
      <c r="L92" s="48"/>
      <c r="M92" s="48"/>
      <c r="N92" s="48"/>
    </row>
    <row r="93" spans="1:14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B26:C26"/>
    <mergeCell ref="A9:B9"/>
    <mergeCell ref="D9:E9"/>
    <mergeCell ref="A11:B11"/>
    <mergeCell ref="A16:C16"/>
    <mergeCell ref="D16:E16"/>
    <mergeCell ref="D11:E11"/>
    <mergeCell ref="A15:C15"/>
    <mergeCell ref="D15:E15"/>
    <mergeCell ref="D12:E12"/>
    <mergeCell ref="A13:C13"/>
    <mergeCell ref="D13:E13"/>
    <mergeCell ref="A12:B12"/>
    <mergeCell ref="A14:C14"/>
    <mergeCell ref="D14:E14"/>
    <mergeCell ref="A10:B10"/>
    <mergeCell ref="D10:E10"/>
    <mergeCell ref="B21:C21"/>
    <mergeCell ref="D21:E21"/>
    <mergeCell ref="B22:C22"/>
    <mergeCell ref="D22:E22"/>
    <mergeCell ref="A17:C17"/>
    <mergeCell ref="D17:E17"/>
    <mergeCell ref="A18:E18"/>
    <mergeCell ref="B23:C23"/>
    <mergeCell ref="D23:E23"/>
    <mergeCell ref="D20:E20"/>
    <mergeCell ref="D19:E19"/>
    <mergeCell ref="B20:C20"/>
    <mergeCell ref="A19:C19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B29:C29"/>
    <mergeCell ref="D29:E29"/>
    <mergeCell ref="B27:C27"/>
    <mergeCell ref="D27:E27"/>
    <mergeCell ref="C50:D50"/>
    <mergeCell ref="C49:D49"/>
    <mergeCell ref="C48:D48"/>
    <mergeCell ref="C46:D46"/>
    <mergeCell ref="C47:D47"/>
    <mergeCell ref="B30:C30"/>
    <mergeCell ref="B31:C31"/>
    <mergeCell ref="D31:E31"/>
    <mergeCell ref="D30:E30"/>
    <mergeCell ref="D32:E32"/>
    <mergeCell ref="C44:D44"/>
    <mergeCell ref="C42:D42"/>
    <mergeCell ref="C68:D68"/>
    <mergeCell ref="A83:E83"/>
    <mergeCell ref="A84:E90"/>
    <mergeCell ref="C67:D67"/>
    <mergeCell ref="C43:D43"/>
    <mergeCell ref="C55:D55"/>
    <mergeCell ref="C51:D51"/>
    <mergeCell ref="C52:D52"/>
    <mergeCell ref="C56:D56"/>
    <mergeCell ref="C57:D57"/>
    <mergeCell ref="C58:D58"/>
    <mergeCell ref="C59:D59"/>
    <mergeCell ref="C53:D53"/>
    <mergeCell ref="C54:D54"/>
    <mergeCell ref="C66:D66"/>
    <mergeCell ref="C45:D45"/>
    <mergeCell ref="B33:C33"/>
    <mergeCell ref="A34:C34"/>
    <mergeCell ref="D34:E34"/>
    <mergeCell ref="C63:D63"/>
    <mergeCell ref="C64:D64"/>
    <mergeCell ref="B28:C28"/>
    <mergeCell ref="C62:D62"/>
    <mergeCell ref="C60:D60"/>
    <mergeCell ref="C61:D61"/>
    <mergeCell ref="C65:D65"/>
    <mergeCell ref="B32:C32"/>
    <mergeCell ref="D33:E33"/>
    <mergeCell ref="B35:E35"/>
    <mergeCell ref="A41:D41"/>
    <mergeCell ref="A20:A33"/>
    <mergeCell ref="B24:C24"/>
    <mergeCell ref="D24:E24"/>
    <mergeCell ref="B25:C25"/>
    <mergeCell ref="D25:E25"/>
    <mergeCell ref="D26:E26"/>
    <mergeCell ref="D28:E2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93"/>
  <sheetViews>
    <sheetView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7" max="7" width="31.21875" customWidth="1"/>
    <col min="8" max="8" width="36.44140625" customWidth="1"/>
    <col min="9" max="9" width="16.44140625" style="3" customWidth="1"/>
  </cols>
  <sheetData>
    <row r="1" spans="1:9" ht="18" thickBot="1" x14ac:dyDescent="0.5">
      <c r="A1" s="7">
        <f>'26'!A1+1</f>
        <v>46200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9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9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</row>
    <row r="4" spans="1:9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9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9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9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9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9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9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9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9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9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9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9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9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9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s="47" customFormat="1" x14ac:dyDescent="0.3">
      <c r="A26" s="267"/>
      <c r="B26" s="275"/>
      <c r="C26" s="276"/>
      <c r="D26" s="273"/>
      <c r="E26" s="274"/>
      <c r="F26" s="48"/>
      <c r="G26" s="118"/>
      <c r="H26" s="52"/>
      <c r="I26" s="73"/>
    </row>
    <row r="27" spans="1:9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9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9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9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'26'!E37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'26'!E39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'26'!E40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9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9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9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9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9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</row>
    <row r="80" spans="1:9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B26:C26"/>
    <mergeCell ref="A9:B9"/>
    <mergeCell ref="D9:E9"/>
    <mergeCell ref="A11:B11"/>
    <mergeCell ref="A16:C16"/>
    <mergeCell ref="D16:E16"/>
    <mergeCell ref="D11:E11"/>
    <mergeCell ref="A15:C15"/>
    <mergeCell ref="D15:E15"/>
    <mergeCell ref="D12:E12"/>
    <mergeCell ref="A13:C13"/>
    <mergeCell ref="D13:E13"/>
    <mergeCell ref="A12:B12"/>
    <mergeCell ref="A14:C14"/>
    <mergeCell ref="D14:E14"/>
    <mergeCell ref="A10:B10"/>
    <mergeCell ref="D10:E10"/>
    <mergeCell ref="B22:C22"/>
    <mergeCell ref="D22:E22"/>
    <mergeCell ref="B23:C23"/>
    <mergeCell ref="D23:E23"/>
    <mergeCell ref="A17:C17"/>
    <mergeCell ref="D17:E17"/>
    <mergeCell ref="A18:E18"/>
    <mergeCell ref="B24:C24"/>
    <mergeCell ref="D24:E24"/>
    <mergeCell ref="D20:E20"/>
    <mergeCell ref="D19:E19"/>
    <mergeCell ref="B20:C20"/>
    <mergeCell ref="A19:C19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B29:C29"/>
    <mergeCell ref="D29:E29"/>
    <mergeCell ref="B27:C27"/>
    <mergeCell ref="D27:E27"/>
    <mergeCell ref="C50:D50"/>
    <mergeCell ref="C49:D49"/>
    <mergeCell ref="C48:D48"/>
    <mergeCell ref="C46:D46"/>
    <mergeCell ref="C47:D47"/>
    <mergeCell ref="B30:C30"/>
    <mergeCell ref="B31:C31"/>
    <mergeCell ref="D31:E31"/>
    <mergeCell ref="D30:E30"/>
    <mergeCell ref="D32:E32"/>
    <mergeCell ref="C44:D44"/>
    <mergeCell ref="C42:D42"/>
    <mergeCell ref="C68:D68"/>
    <mergeCell ref="A83:E83"/>
    <mergeCell ref="A84:E90"/>
    <mergeCell ref="C67:D67"/>
    <mergeCell ref="C43:D43"/>
    <mergeCell ref="C55:D55"/>
    <mergeCell ref="C51:D51"/>
    <mergeCell ref="C52:D52"/>
    <mergeCell ref="C56:D56"/>
    <mergeCell ref="C57:D57"/>
    <mergeCell ref="C58:D58"/>
    <mergeCell ref="C59:D59"/>
    <mergeCell ref="C53:D53"/>
    <mergeCell ref="C54:D54"/>
    <mergeCell ref="C66:D66"/>
    <mergeCell ref="C45:D45"/>
    <mergeCell ref="B33:C33"/>
    <mergeCell ref="A34:C34"/>
    <mergeCell ref="D34:E34"/>
    <mergeCell ref="C63:D63"/>
    <mergeCell ref="C64:D64"/>
    <mergeCell ref="B28:C28"/>
    <mergeCell ref="C62:D62"/>
    <mergeCell ref="C60:D60"/>
    <mergeCell ref="C61:D61"/>
    <mergeCell ref="C65:D65"/>
    <mergeCell ref="B32:C32"/>
    <mergeCell ref="D33:E33"/>
    <mergeCell ref="B35:E35"/>
    <mergeCell ref="A41:D41"/>
    <mergeCell ref="A20:A33"/>
    <mergeCell ref="B25:C25"/>
    <mergeCell ref="D25:E25"/>
    <mergeCell ref="D26:E26"/>
    <mergeCell ref="B21:C21"/>
    <mergeCell ref="D21:E21"/>
    <mergeCell ref="D28:E2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93"/>
  <sheetViews>
    <sheetView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6" max="6" width="12.33203125" bestFit="1" customWidth="1"/>
    <col min="7" max="7" width="24.77734375" customWidth="1"/>
    <col min="8" max="8" width="36.44140625" customWidth="1"/>
    <col min="9" max="9" width="16.44140625" style="3" customWidth="1"/>
  </cols>
  <sheetData>
    <row r="1" spans="1:9" ht="18" thickBot="1" x14ac:dyDescent="0.5">
      <c r="A1" s="7">
        <f>'27'!A1+1</f>
        <v>46201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9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9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</row>
    <row r="4" spans="1:9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9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9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9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9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9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9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9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9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9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9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9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9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9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x14ac:dyDescent="0.3">
      <c r="A26" s="267"/>
      <c r="B26" s="275"/>
      <c r="C26" s="276"/>
      <c r="D26" s="273"/>
      <c r="E26" s="274"/>
      <c r="F26" s="48"/>
      <c r="G26" s="118"/>
      <c r="H26" s="52"/>
      <c r="I26" s="73"/>
    </row>
    <row r="27" spans="1:9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9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9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9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44.4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'27'!E37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'27'!E39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'27'!E40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9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9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9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9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9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</row>
    <row r="80" spans="1:9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A6:B6"/>
    <mergeCell ref="D20:E20"/>
    <mergeCell ref="B20:C20"/>
    <mergeCell ref="A15:C15"/>
    <mergeCell ref="D15:E15"/>
    <mergeCell ref="A16:C16"/>
    <mergeCell ref="D16:E16"/>
    <mergeCell ref="A20:A33"/>
    <mergeCell ref="B23:C23"/>
    <mergeCell ref="A9:B9"/>
    <mergeCell ref="D9:E9"/>
    <mergeCell ref="D12:E12"/>
    <mergeCell ref="A13:C13"/>
    <mergeCell ref="D13:E13"/>
    <mergeCell ref="A12:B12"/>
    <mergeCell ref="A17:C17"/>
    <mergeCell ref="A3:B3"/>
    <mergeCell ref="B21:C21"/>
    <mergeCell ref="B22:C22"/>
    <mergeCell ref="D22:E22"/>
    <mergeCell ref="D25:E25"/>
    <mergeCell ref="D23:E23"/>
    <mergeCell ref="D21:E21"/>
    <mergeCell ref="B24:C24"/>
    <mergeCell ref="D24:E24"/>
    <mergeCell ref="B25:C25"/>
    <mergeCell ref="D17:E17"/>
    <mergeCell ref="A18:E18"/>
    <mergeCell ref="A19:C19"/>
    <mergeCell ref="A14:C14"/>
    <mergeCell ref="D14:E14"/>
    <mergeCell ref="D19:E19"/>
    <mergeCell ref="C51:D51"/>
    <mergeCell ref="B1:E1"/>
    <mergeCell ref="D8:E8"/>
    <mergeCell ref="D7:E7"/>
    <mergeCell ref="C2:D2"/>
    <mergeCell ref="D11:E11"/>
    <mergeCell ref="A11:B11"/>
    <mergeCell ref="A7:B7"/>
    <mergeCell ref="A8:B8"/>
    <mergeCell ref="A4:B4"/>
    <mergeCell ref="D4:E4"/>
    <mergeCell ref="A5:B5"/>
    <mergeCell ref="D5:E5"/>
    <mergeCell ref="D6:E6"/>
    <mergeCell ref="A10:B10"/>
    <mergeCell ref="D10:E10"/>
    <mergeCell ref="C43:D43"/>
    <mergeCell ref="C61:D61"/>
    <mergeCell ref="C65:D65"/>
    <mergeCell ref="C66:D66"/>
    <mergeCell ref="D28:E28"/>
    <mergeCell ref="C42:D42"/>
    <mergeCell ref="B31:C31"/>
    <mergeCell ref="D31:E31"/>
    <mergeCell ref="D30:E30"/>
    <mergeCell ref="B30:C30"/>
    <mergeCell ref="C59:D59"/>
    <mergeCell ref="D32:E32"/>
    <mergeCell ref="C63:D63"/>
    <mergeCell ref="C64:D64"/>
    <mergeCell ref="C49:D49"/>
    <mergeCell ref="C48:D48"/>
    <mergeCell ref="C62:D62"/>
    <mergeCell ref="C60:D60"/>
    <mergeCell ref="D26:E26"/>
    <mergeCell ref="D29:E29"/>
    <mergeCell ref="B27:C27"/>
    <mergeCell ref="D27:E27"/>
    <mergeCell ref="B28:C28"/>
    <mergeCell ref="B29:C29"/>
    <mergeCell ref="B26:C26"/>
    <mergeCell ref="C52:D52"/>
    <mergeCell ref="C50:D50"/>
    <mergeCell ref="C55:D55"/>
    <mergeCell ref="B32:C32"/>
    <mergeCell ref="D33:E33"/>
    <mergeCell ref="C53:D53"/>
    <mergeCell ref="C54:D54"/>
    <mergeCell ref="C67:D67"/>
    <mergeCell ref="A83:E83"/>
    <mergeCell ref="A84:E90"/>
    <mergeCell ref="B33:C33"/>
    <mergeCell ref="A34:C34"/>
    <mergeCell ref="D34:E34"/>
    <mergeCell ref="B35:E35"/>
    <mergeCell ref="A41:D41"/>
    <mergeCell ref="C56:D56"/>
    <mergeCell ref="C57:D57"/>
    <mergeCell ref="C58:D58"/>
    <mergeCell ref="C45:D45"/>
    <mergeCell ref="C46:D46"/>
    <mergeCell ref="C47:D47"/>
    <mergeCell ref="C44:D44"/>
    <mergeCell ref="C68:D68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93"/>
  <sheetViews>
    <sheetView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7" max="7" width="27" customWidth="1"/>
    <col min="8" max="8" width="36.44140625" customWidth="1"/>
    <col min="9" max="9" width="16.44140625" style="3" customWidth="1"/>
  </cols>
  <sheetData>
    <row r="1" spans="1:9" ht="18" thickBot="1" x14ac:dyDescent="0.5">
      <c r="A1" s="7">
        <f>'28'!A1+1</f>
        <v>46202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9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9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</row>
    <row r="4" spans="1:9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9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9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9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9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9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9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9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9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9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9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9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9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9" s="47" customFormat="1" ht="14.4" customHeight="1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ht="14.4" customHeigh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ht="14.4" customHeigh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ht="14.4" customHeigh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x14ac:dyDescent="0.3">
      <c r="A26" s="267"/>
      <c r="B26" s="275"/>
      <c r="C26" s="276"/>
      <c r="D26" s="273"/>
      <c r="E26" s="274"/>
      <c r="F26" s="48"/>
      <c r="G26" s="118"/>
      <c r="H26" s="52"/>
      <c r="I26" s="73"/>
    </row>
    <row r="27" spans="1:9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9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9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9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'28'!E37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'28'!E39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'28'!E40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9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9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9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9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9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</row>
    <row r="80" spans="1:9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5.6" customHeight="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B26:C26"/>
    <mergeCell ref="A9:B9"/>
    <mergeCell ref="D9:E9"/>
    <mergeCell ref="A11:B11"/>
    <mergeCell ref="A16:C16"/>
    <mergeCell ref="D16:E16"/>
    <mergeCell ref="D11:E11"/>
    <mergeCell ref="A15:C15"/>
    <mergeCell ref="D15:E15"/>
    <mergeCell ref="D12:E12"/>
    <mergeCell ref="A13:C13"/>
    <mergeCell ref="D13:E13"/>
    <mergeCell ref="A12:B12"/>
    <mergeCell ref="A14:C14"/>
    <mergeCell ref="D14:E14"/>
    <mergeCell ref="A10:B10"/>
    <mergeCell ref="D10:E10"/>
    <mergeCell ref="B21:C21"/>
    <mergeCell ref="D21:E21"/>
    <mergeCell ref="B22:C22"/>
    <mergeCell ref="D22:E22"/>
    <mergeCell ref="A17:C17"/>
    <mergeCell ref="D17:E17"/>
    <mergeCell ref="A18:E18"/>
    <mergeCell ref="B23:C23"/>
    <mergeCell ref="D23:E23"/>
    <mergeCell ref="D20:E20"/>
    <mergeCell ref="D19:E19"/>
    <mergeCell ref="B20:C20"/>
    <mergeCell ref="A19:C19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B29:C29"/>
    <mergeCell ref="D29:E29"/>
    <mergeCell ref="B27:C27"/>
    <mergeCell ref="D27:E27"/>
    <mergeCell ref="C50:D50"/>
    <mergeCell ref="C49:D49"/>
    <mergeCell ref="C48:D48"/>
    <mergeCell ref="C46:D46"/>
    <mergeCell ref="C47:D47"/>
    <mergeCell ref="B30:C30"/>
    <mergeCell ref="B31:C31"/>
    <mergeCell ref="D31:E31"/>
    <mergeCell ref="D30:E30"/>
    <mergeCell ref="D32:E32"/>
    <mergeCell ref="C44:D44"/>
    <mergeCell ref="C42:D42"/>
    <mergeCell ref="C68:D68"/>
    <mergeCell ref="A83:E83"/>
    <mergeCell ref="A84:E90"/>
    <mergeCell ref="C67:D67"/>
    <mergeCell ref="C43:D43"/>
    <mergeCell ref="C55:D55"/>
    <mergeCell ref="C51:D51"/>
    <mergeCell ref="C52:D52"/>
    <mergeCell ref="C56:D56"/>
    <mergeCell ref="C57:D57"/>
    <mergeCell ref="C58:D58"/>
    <mergeCell ref="C59:D59"/>
    <mergeCell ref="C53:D53"/>
    <mergeCell ref="C54:D54"/>
    <mergeCell ref="C66:D66"/>
    <mergeCell ref="C45:D45"/>
    <mergeCell ref="B33:C33"/>
    <mergeCell ref="A34:C34"/>
    <mergeCell ref="D34:E34"/>
    <mergeCell ref="C63:D63"/>
    <mergeCell ref="C64:D64"/>
    <mergeCell ref="B28:C28"/>
    <mergeCell ref="C62:D62"/>
    <mergeCell ref="C60:D60"/>
    <mergeCell ref="C61:D61"/>
    <mergeCell ref="C65:D65"/>
    <mergeCell ref="B32:C32"/>
    <mergeCell ref="D33:E33"/>
    <mergeCell ref="B35:E35"/>
    <mergeCell ref="A41:D41"/>
    <mergeCell ref="A20:A33"/>
    <mergeCell ref="B24:C24"/>
    <mergeCell ref="D24:E24"/>
    <mergeCell ref="B25:C25"/>
    <mergeCell ref="D25:E25"/>
    <mergeCell ref="D26:E26"/>
    <mergeCell ref="D28:E28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93"/>
  <sheetViews>
    <sheetView workbookViewId="0">
      <pane xSplit="2" ySplit="2" topLeftCell="C3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X1" sqref="A1:X1048576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7" max="7" width="24.109375" customWidth="1"/>
    <col min="8" max="8" width="36.44140625" customWidth="1"/>
    <col min="9" max="9" width="16.44140625" style="3" customWidth="1"/>
  </cols>
  <sheetData>
    <row r="1" spans="1:9" ht="18" thickBot="1" x14ac:dyDescent="0.5">
      <c r="A1" s="7">
        <f>'29'!A1+1</f>
        <v>46203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9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9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</row>
    <row r="4" spans="1:9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9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9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9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9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9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9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9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9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9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9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9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9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9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x14ac:dyDescent="0.3">
      <c r="A26" s="267"/>
      <c r="B26" s="275"/>
      <c r="C26" s="276"/>
      <c r="D26" s="273"/>
      <c r="E26" s="274"/>
      <c r="F26" s="48"/>
      <c r="G26" s="118"/>
      <c r="H26" s="52"/>
      <c r="I26" s="73"/>
    </row>
    <row r="27" spans="1:9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9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9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9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'29'!E37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'29'!E39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'29'!E40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9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9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9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9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9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</row>
    <row r="80" spans="1:9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B26:C26"/>
    <mergeCell ref="D8:E8"/>
    <mergeCell ref="D11:E11"/>
    <mergeCell ref="A15:C15"/>
    <mergeCell ref="D15:E15"/>
    <mergeCell ref="D12:E12"/>
    <mergeCell ref="A13:C13"/>
    <mergeCell ref="D13:E13"/>
    <mergeCell ref="A14:C14"/>
    <mergeCell ref="D14:E14"/>
    <mergeCell ref="A9:B9"/>
    <mergeCell ref="D9:E9"/>
    <mergeCell ref="A12:B12"/>
    <mergeCell ref="A10:B10"/>
    <mergeCell ref="D10:E10"/>
    <mergeCell ref="D24:E24"/>
    <mergeCell ref="C68:D68"/>
    <mergeCell ref="A83:E83"/>
    <mergeCell ref="A84:E90"/>
    <mergeCell ref="B1:E1"/>
    <mergeCell ref="C2:D2"/>
    <mergeCell ref="A3:B3"/>
    <mergeCell ref="A8:B8"/>
    <mergeCell ref="A4:B4"/>
    <mergeCell ref="D4:E4"/>
    <mergeCell ref="D7:E7"/>
    <mergeCell ref="A7:B7"/>
    <mergeCell ref="A6:B6"/>
    <mergeCell ref="D6:E6"/>
    <mergeCell ref="A5:B5"/>
    <mergeCell ref="D5:E5"/>
    <mergeCell ref="A11:B11"/>
    <mergeCell ref="C65:D65"/>
    <mergeCell ref="C66:D66"/>
    <mergeCell ref="C67:D67"/>
    <mergeCell ref="C63:D63"/>
    <mergeCell ref="C64:D64"/>
    <mergeCell ref="D28:E28"/>
    <mergeCell ref="B29:C29"/>
    <mergeCell ref="D21:E21"/>
    <mergeCell ref="B22:C22"/>
    <mergeCell ref="C62:D62"/>
    <mergeCell ref="C60:D60"/>
    <mergeCell ref="C61:D61"/>
    <mergeCell ref="B30:C30"/>
    <mergeCell ref="B31:C31"/>
    <mergeCell ref="D31:E31"/>
    <mergeCell ref="D30:E30"/>
    <mergeCell ref="C44:D44"/>
    <mergeCell ref="C42:D42"/>
    <mergeCell ref="D33:E33"/>
    <mergeCell ref="D32:E32"/>
    <mergeCell ref="C47:D47"/>
    <mergeCell ref="C46:D46"/>
    <mergeCell ref="C45:D45"/>
    <mergeCell ref="A34:C34"/>
    <mergeCell ref="D34:E34"/>
    <mergeCell ref="B35:E35"/>
    <mergeCell ref="A41:D41"/>
    <mergeCell ref="B25:C25"/>
    <mergeCell ref="D25:E25"/>
    <mergeCell ref="C48:D48"/>
    <mergeCell ref="C59:D59"/>
    <mergeCell ref="C53:D53"/>
    <mergeCell ref="C54:D54"/>
    <mergeCell ref="C55:D55"/>
    <mergeCell ref="C49:D49"/>
    <mergeCell ref="C51:D51"/>
    <mergeCell ref="C52:D52"/>
    <mergeCell ref="C56:D56"/>
    <mergeCell ref="C57:D57"/>
    <mergeCell ref="C58:D58"/>
    <mergeCell ref="C50:D50"/>
    <mergeCell ref="C43:D43"/>
    <mergeCell ref="B32:C32"/>
    <mergeCell ref="A19:C19"/>
    <mergeCell ref="D19:E19"/>
    <mergeCell ref="B20:C20"/>
    <mergeCell ref="A20:A33"/>
    <mergeCell ref="B33:C33"/>
    <mergeCell ref="D29:E29"/>
    <mergeCell ref="D20:E20"/>
    <mergeCell ref="B27:C27"/>
    <mergeCell ref="D27:E27"/>
    <mergeCell ref="B28:C28"/>
    <mergeCell ref="B21:C21"/>
    <mergeCell ref="D26:E26"/>
    <mergeCell ref="D22:E22"/>
    <mergeCell ref="B23:C23"/>
    <mergeCell ref="D23:E23"/>
    <mergeCell ref="B24:C24"/>
    <mergeCell ref="A16:C16"/>
    <mergeCell ref="D16:E16"/>
    <mergeCell ref="A17:C17"/>
    <mergeCell ref="D17:E17"/>
    <mergeCell ref="A18:E1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93"/>
  <sheetViews>
    <sheetView workbookViewId="0">
      <pane xSplit="2" ySplit="2" topLeftCell="C30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D11" sqref="D11:E11"/>
    </sheetView>
  </sheetViews>
  <sheetFormatPr defaultColWidth="8.77734375" defaultRowHeight="14.4" x14ac:dyDescent="0.3"/>
  <cols>
    <col min="1" max="1" width="31.77734375" customWidth="1"/>
    <col min="2" max="2" width="15.109375" customWidth="1"/>
    <col min="3" max="3" width="21.109375" customWidth="1"/>
    <col min="4" max="4" width="16.5546875" style="3" customWidth="1"/>
    <col min="5" max="5" width="15.44140625" style="3" customWidth="1"/>
    <col min="7" max="7" width="22.88671875" customWidth="1"/>
    <col min="8" max="8" width="36.44140625" customWidth="1"/>
    <col min="9" max="9" width="16.44140625" style="3" customWidth="1"/>
  </cols>
  <sheetData>
    <row r="1" spans="1:9" ht="18" thickBot="1" x14ac:dyDescent="0.5">
      <c r="A1" s="7">
        <f>'30'!A1+1</f>
        <v>46204</v>
      </c>
      <c r="B1" s="221" t="str">
        <f>'1'!B1:E1</f>
        <v>DADA SALON KABARETT GÜN SONU RAPORU</v>
      </c>
      <c r="C1" s="221"/>
      <c r="D1" s="221"/>
      <c r="E1" s="221"/>
      <c r="F1" s="1"/>
      <c r="G1" s="1"/>
      <c r="H1" s="1"/>
    </row>
    <row r="2" spans="1:9" ht="31.8" thickTop="1" thickBot="1" x14ac:dyDescent="0.5">
      <c r="A2" s="48"/>
      <c r="B2" s="48"/>
      <c r="C2" s="277" t="s">
        <v>17</v>
      </c>
      <c r="D2" s="277"/>
      <c r="E2" s="62">
        <f>D4+D5+D6+D7+D8+D9+D10+D11+D12</f>
        <v>0</v>
      </c>
      <c r="F2" s="48"/>
      <c r="G2" s="70" t="s">
        <v>72</v>
      </c>
      <c r="H2" s="70" t="s">
        <v>9</v>
      </c>
      <c r="I2" s="71" t="s">
        <v>12</v>
      </c>
    </row>
    <row r="3" spans="1:9" ht="18.600000000000001" thickTop="1" thickBot="1" x14ac:dyDescent="0.5">
      <c r="A3" s="226" t="s">
        <v>16</v>
      </c>
      <c r="B3" s="227"/>
      <c r="C3" s="119"/>
      <c r="D3" s="72" t="s">
        <v>45</v>
      </c>
      <c r="E3" s="72" t="e">
        <f>E2/C3</f>
        <v>#DIV/0!</v>
      </c>
      <c r="F3" s="48"/>
      <c r="G3" s="117"/>
      <c r="H3" s="51"/>
      <c r="I3" s="89"/>
    </row>
    <row r="4" spans="1:9" ht="18.600000000000001" thickTop="1" thickBot="1" x14ac:dyDescent="0.5">
      <c r="A4" s="226" t="s">
        <v>87</v>
      </c>
      <c r="B4" s="227"/>
      <c r="C4" s="119"/>
      <c r="D4" s="222"/>
      <c r="E4" s="223"/>
      <c r="F4" s="50"/>
      <c r="G4" s="118"/>
      <c r="H4" s="52"/>
      <c r="I4" s="73"/>
    </row>
    <row r="5" spans="1:9" s="48" customFormat="1" ht="18.600000000000001" thickTop="1" thickBot="1" x14ac:dyDescent="0.5">
      <c r="A5" s="226" t="s">
        <v>110</v>
      </c>
      <c r="B5" s="227"/>
      <c r="C5" s="119"/>
      <c r="D5" s="222"/>
      <c r="E5" s="223"/>
      <c r="G5" s="118"/>
      <c r="H5" s="52"/>
      <c r="I5" s="73"/>
    </row>
    <row r="6" spans="1:9" s="48" customFormat="1" ht="18.600000000000001" thickTop="1" thickBot="1" x14ac:dyDescent="0.5">
      <c r="A6" s="226" t="s">
        <v>44</v>
      </c>
      <c r="B6" s="227"/>
      <c r="C6" s="119"/>
      <c r="D6" s="222"/>
      <c r="E6" s="223"/>
      <c r="G6" s="118"/>
      <c r="H6" s="52"/>
      <c r="I6" s="73"/>
    </row>
    <row r="7" spans="1:9" ht="18.600000000000001" thickTop="1" thickBot="1" x14ac:dyDescent="0.5">
      <c r="A7" s="226" t="s">
        <v>75</v>
      </c>
      <c r="B7" s="227"/>
      <c r="C7" s="119"/>
      <c r="D7" s="222"/>
      <c r="E7" s="223"/>
      <c r="F7" s="48"/>
      <c r="G7" s="118"/>
      <c r="H7" s="52"/>
      <c r="I7" s="73"/>
    </row>
    <row r="8" spans="1:9" ht="18.600000000000001" thickTop="1" thickBot="1" x14ac:dyDescent="0.5">
      <c r="A8" s="226" t="s">
        <v>49</v>
      </c>
      <c r="B8" s="227"/>
      <c r="C8" s="119"/>
      <c r="D8" s="222"/>
      <c r="E8" s="223"/>
      <c r="F8" s="48"/>
      <c r="G8" s="118"/>
      <c r="H8" s="52"/>
      <c r="I8" s="73"/>
    </row>
    <row r="9" spans="1:9" s="48" customFormat="1" ht="18.600000000000001" thickTop="1" thickBot="1" x14ac:dyDescent="0.5">
      <c r="A9" s="226" t="s">
        <v>15</v>
      </c>
      <c r="B9" s="227"/>
      <c r="C9" s="120"/>
      <c r="D9" s="222"/>
      <c r="E9" s="223"/>
      <c r="G9" s="118"/>
      <c r="H9" s="52"/>
      <c r="I9" s="73"/>
    </row>
    <row r="10" spans="1:9" s="48" customFormat="1" ht="18.600000000000001" thickTop="1" thickBot="1" x14ac:dyDescent="0.5">
      <c r="A10" s="226" t="s">
        <v>100</v>
      </c>
      <c r="B10" s="227"/>
      <c r="C10" s="120"/>
      <c r="D10" s="222"/>
      <c r="E10" s="223"/>
      <c r="G10" s="118"/>
      <c r="H10" s="52"/>
      <c r="I10" s="73"/>
    </row>
    <row r="11" spans="1:9" ht="18.600000000000001" thickTop="1" thickBot="1" x14ac:dyDescent="0.5">
      <c r="A11" s="226" t="s">
        <v>47</v>
      </c>
      <c r="B11" s="227"/>
      <c r="C11" s="120"/>
      <c r="D11" s="222"/>
      <c r="E11" s="223"/>
      <c r="F11" s="48"/>
      <c r="G11" s="118"/>
      <c r="H11" s="52"/>
      <c r="I11" s="73"/>
    </row>
    <row r="12" spans="1:9" ht="18.600000000000001" thickTop="1" thickBot="1" x14ac:dyDescent="0.5">
      <c r="A12" s="253" t="s">
        <v>32</v>
      </c>
      <c r="B12" s="254"/>
      <c r="C12" s="120">
        <f>C3-C4-C5-C6-C7-C8-C9-C10-C11</f>
        <v>0</v>
      </c>
      <c r="D12" s="222">
        <f>SUM(D13:E16)</f>
        <v>0</v>
      </c>
      <c r="E12" s="223"/>
      <c r="F12" s="48"/>
      <c r="G12" s="118"/>
      <c r="H12" s="52"/>
      <c r="I12" s="74"/>
    </row>
    <row r="13" spans="1:9" ht="18.600000000000001" thickTop="1" thickBot="1" x14ac:dyDescent="0.5">
      <c r="A13" s="226" t="s">
        <v>38</v>
      </c>
      <c r="B13" s="236"/>
      <c r="C13" s="227"/>
      <c r="D13" s="222"/>
      <c r="E13" s="223"/>
      <c r="F13" s="48"/>
      <c r="G13" s="118"/>
      <c r="H13" s="52"/>
      <c r="I13" s="74"/>
    </row>
    <row r="14" spans="1:9" ht="18.600000000000001" thickTop="1" thickBot="1" x14ac:dyDescent="0.5">
      <c r="A14" s="226" t="s">
        <v>39</v>
      </c>
      <c r="B14" s="236"/>
      <c r="C14" s="227"/>
      <c r="D14" s="222"/>
      <c r="E14" s="223"/>
      <c r="F14" s="48"/>
      <c r="G14" s="118"/>
      <c r="H14" s="52"/>
      <c r="I14" s="74"/>
    </row>
    <row r="15" spans="1:9" ht="18.600000000000001" thickTop="1" thickBot="1" x14ac:dyDescent="0.5">
      <c r="A15" s="226" t="s">
        <v>1</v>
      </c>
      <c r="B15" s="236"/>
      <c r="C15" s="227"/>
      <c r="D15" s="281"/>
      <c r="E15" s="281"/>
      <c r="F15" s="48"/>
      <c r="G15" s="118"/>
      <c r="H15" s="52"/>
      <c r="I15" s="73"/>
    </row>
    <row r="16" spans="1:9" ht="18.600000000000001" thickTop="1" thickBot="1" x14ac:dyDescent="0.5">
      <c r="A16" s="226" t="s">
        <v>0</v>
      </c>
      <c r="B16" s="236"/>
      <c r="C16" s="227"/>
      <c r="D16" s="281"/>
      <c r="E16" s="281"/>
      <c r="F16" s="48"/>
      <c r="G16" s="118"/>
      <c r="H16" s="52"/>
      <c r="I16" s="73"/>
    </row>
    <row r="17" spans="1:9" ht="18.600000000000001" thickTop="1" thickBot="1" x14ac:dyDescent="0.5">
      <c r="A17" s="255" t="s">
        <v>19</v>
      </c>
      <c r="B17" s="256"/>
      <c r="C17" s="257"/>
      <c r="D17" s="258"/>
      <c r="E17" s="259"/>
      <c r="F17" s="48"/>
      <c r="G17" s="118"/>
      <c r="H17" s="52"/>
      <c r="I17" s="73"/>
    </row>
    <row r="18" spans="1:9" ht="15.6" thickTop="1" thickBot="1" x14ac:dyDescent="0.35">
      <c r="A18" s="260"/>
      <c r="B18" s="261"/>
      <c r="C18" s="261"/>
      <c r="D18" s="261"/>
      <c r="E18" s="262"/>
      <c r="F18" s="48"/>
      <c r="G18" s="118"/>
      <c r="H18" s="52"/>
      <c r="I18" s="73"/>
    </row>
    <row r="19" spans="1:9" ht="15.6" thickTop="1" thickBot="1" x14ac:dyDescent="0.35">
      <c r="A19" s="263" t="s">
        <v>2</v>
      </c>
      <c r="B19" s="264"/>
      <c r="C19" s="265"/>
      <c r="D19" s="239">
        <f>SUM(D21:E33)</f>
        <v>0</v>
      </c>
      <c r="E19" s="240"/>
      <c r="F19" s="48"/>
      <c r="G19" s="118"/>
      <c r="H19" s="52"/>
      <c r="I19" s="73"/>
    </row>
    <row r="20" spans="1:9" ht="15.6" thickTop="1" thickBot="1" x14ac:dyDescent="0.35">
      <c r="A20" s="266" t="s">
        <v>4</v>
      </c>
      <c r="B20" s="249" t="s">
        <v>7</v>
      </c>
      <c r="C20" s="250"/>
      <c r="D20" s="241" t="s">
        <v>8</v>
      </c>
      <c r="E20" s="242"/>
      <c r="F20" s="48"/>
      <c r="G20" s="118"/>
      <c r="H20" s="52"/>
      <c r="I20" s="73"/>
    </row>
    <row r="21" spans="1:9" s="47" customFormat="1" ht="15" thickTop="1" x14ac:dyDescent="0.3">
      <c r="A21" s="267"/>
      <c r="B21" s="251"/>
      <c r="C21" s="252"/>
      <c r="D21" s="243"/>
      <c r="E21" s="244"/>
      <c r="F21" s="48"/>
      <c r="G21" s="118"/>
      <c r="H21" s="52"/>
      <c r="I21" s="73"/>
    </row>
    <row r="22" spans="1:9" s="47" customFormat="1" x14ac:dyDescent="0.3">
      <c r="A22" s="267"/>
      <c r="B22" s="245"/>
      <c r="C22" s="246"/>
      <c r="D22" s="237"/>
      <c r="E22" s="238"/>
      <c r="F22" s="48"/>
      <c r="G22" s="118"/>
      <c r="H22" s="52"/>
      <c r="I22" s="73"/>
    </row>
    <row r="23" spans="1:9" s="47" customFormat="1" x14ac:dyDescent="0.3">
      <c r="A23" s="267"/>
      <c r="B23" s="245"/>
      <c r="C23" s="246"/>
      <c r="D23" s="237"/>
      <c r="E23" s="238"/>
      <c r="F23" s="48"/>
      <c r="G23" s="118"/>
      <c r="H23" s="52"/>
      <c r="I23" s="73"/>
    </row>
    <row r="24" spans="1:9" s="47" customFormat="1" x14ac:dyDescent="0.3">
      <c r="A24" s="267"/>
      <c r="B24" s="245"/>
      <c r="C24" s="246"/>
      <c r="D24" s="237"/>
      <c r="E24" s="238"/>
      <c r="F24" s="48"/>
      <c r="G24" s="118"/>
      <c r="H24" s="52"/>
      <c r="I24" s="73"/>
    </row>
    <row r="25" spans="1:9" s="47" customFormat="1" x14ac:dyDescent="0.3">
      <c r="A25" s="267"/>
      <c r="B25" s="245"/>
      <c r="C25" s="246"/>
      <c r="D25" s="237"/>
      <c r="E25" s="238"/>
      <c r="F25" s="48"/>
      <c r="G25" s="118"/>
      <c r="H25" s="52"/>
      <c r="I25" s="73"/>
    </row>
    <row r="26" spans="1:9" x14ac:dyDescent="0.3">
      <c r="A26" s="267"/>
      <c r="B26" s="275"/>
      <c r="C26" s="276"/>
      <c r="D26" s="273"/>
      <c r="E26" s="274"/>
      <c r="F26" s="48"/>
      <c r="G26" s="118"/>
      <c r="H26" s="52"/>
      <c r="I26" s="73"/>
    </row>
    <row r="27" spans="1:9" x14ac:dyDescent="0.3">
      <c r="A27" s="267"/>
      <c r="B27" s="271"/>
      <c r="C27" s="272"/>
      <c r="D27" s="273"/>
      <c r="E27" s="274"/>
      <c r="F27" s="48"/>
      <c r="G27" s="105"/>
      <c r="H27" s="75"/>
      <c r="I27" s="68"/>
    </row>
    <row r="28" spans="1:9" x14ac:dyDescent="0.3">
      <c r="A28" s="267"/>
      <c r="B28" s="245"/>
      <c r="C28" s="246"/>
      <c r="D28" s="237"/>
      <c r="E28" s="238"/>
      <c r="F28" s="48"/>
      <c r="G28" s="105"/>
      <c r="H28" s="75"/>
      <c r="I28" s="68"/>
    </row>
    <row r="29" spans="1:9" x14ac:dyDescent="0.3">
      <c r="A29" s="267"/>
      <c r="B29" s="271"/>
      <c r="C29" s="272"/>
      <c r="D29" s="273"/>
      <c r="E29" s="274"/>
      <c r="F29" s="48"/>
      <c r="G29" s="105"/>
      <c r="H29" s="75"/>
      <c r="I29" s="68"/>
    </row>
    <row r="30" spans="1:9" x14ac:dyDescent="0.3">
      <c r="A30" s="267"/>
      <c r="B30" s="230"/>
      <c r="C30" s="231"/>
      <c r="D30" s="228"/>
      <c r="E30" s="229"/>
      <c r="F30" s="48"/>
      <c r="G30" s="105"/>
      <c r="H30" s="75"/>
      <c r="I30" s="68"/>
    </row>
    <row r="31" spans="1:9" x14ac:dyDescent="0.3">
      <c r="A31" s="267"/>
      <c r="B31" s="230"/>
      <c r="C31" s="231"/>
      <c r="D31" s="228"/>
      <c r="E31" s="229"/>
      <c r="F31" s="48"/>
      <c r="G31" s="105"/>
      <c r="H31" s="75"/>
      <c r="I31" s="68"/>
    </row>
    <row r="32" spans="1:9" x14ac:dyDescent="0.3">
      <c r="A32" s="267"/>
      <c r="B32" s="230"/>
      <c r="C32" s="231"/>
      <c r="D32" s="228"/>
      <c r="E32" s="229"/>
      <c r="F32" s="48"/>
      <c r="G32" s="105"/>
      <c r="H32" s="75"/>
      <c r="I32" s="68"/>
    </row>
    <row r="33" spans="1:9" ht="15" thickBot="1" x14ac:dyDescent="0.35">
      <c r="A33" s="268"/>
      <c r="B33" s="269"/>
      <c r="C33" s="270"/>
      <c r="D33" s="224"/>
      <c r="E33" s="225"/>
      <c r="F33" s="48"/>
      <c r="G33" s="105"/>
      <c r="H33" s="75"/>
      <c r="I33" s="68"/>
    </row>
    <row r="34" spans="1:9" ht="26.4" thickTop="1" thickBot="1" x14ac:dyDescent="0.65">
      <c r="A34" s="207" t="s">
        <v>90</v>
      </c>
      <c r="B34" s="208"/>
      <c r="C34" s="209"/>
      <c r="D34" s="210">
        <f>D15+D13-D19</f>
        <v>0</v>
      </c>
      <c r="E34" s="211"/>
      <c r="F34" s="48"/>
      <c r="G34" s="96"/>
      <c r="H34" s="69"/>
      <c r="I34" s="74"/>
    </row>
    <row r="35" spans="1:9" s="48" customFormat="1" ht="36" thickTop="1" thickBot="1" x14ac:dyDescent="0.35">
      <c r="A35" s="59" t="s">
        <v>6</v>
      </c>
      <c r="B35" s="212"/>
      <c r="C35" s="213"/>
      <c r="D35" s="213"/>
      <c r="E35" s="214"/>
      <c r="F35" s="49"/>
      <c r="G35" s="96"/>
      <c r="H35" s="75"/>
      <c r="I35" s="68"/>
    </row>
    <row r="36" spans="1:9" s="48" customFormat="1" ht="58.8" thickTop="1" thickBot="1" x14ac:dyDescent="0.35">
      <c r="A36" s="124" t="s">
        <v>78</v>
      </c>
      <c r="B36" s="125" t="s">
        <v>82</v>
      </c>
      <c r="C36" s="125" t="s">
        <v>79</v>
      </c>
      <c r="D36" s="125" t="s">
        <v>80</v>
      </c>
      <c r="E36" s="130" t="s">
        <v>81</v>
      </c>
      <c r="F36" s="122" t="s">
        <v>83</v>
      </c>
      <c r="G36" s="132"/>
      <c r="H36" s="75"/>
      <c r="I36" s="68"/>
    </row>
    <row r="37" spans="1:9" s="48" customFormat="1" ht="18.600000000000001" thickTop="1" thickBot="1" x14ac:dyDescent="0.5">
      <c r="A37" s="127">
        <f>'30'!E37</f>
        <v>3818.4799999999814</v>
      </c>
      <c r="B37" s="128"/>
      <c r="C37" s="128">
        <f>D19</f>
        <v>0</v>
      </c>
      <c r="D37" s="128">
        <f>A37+B37+D15-C37</f>
        <v>3818.4799999999814</v>
      </c>
      <c r="E37" s="131">
        <f>D37</f>
        <v>3818.4799999999814</v>
      </c>
      <c r="F37" s="134">
        <f>E37-D37</f>
        <v>0</v>
      </c>
      <c r="G37" s="132"/>
      <c r="H37" s="75"/>
      <c r="I37" s="68"/>
    </row>
    <row r="38" spans="1:9" s="48" customFormat="1" ht="18.600000000000001" thickTop="1" thickBot="1" x14ac:dyDescent="0.35">
      <c r="A38" s="59" t="s">
        <v>68</v>
      </c>
      <c r="B38" s="115" t="s">
        <v>69</v>
      </c>
      <c r="C38" s="115" t="s">
        <v>70</v>
      </c>
      <c r="D38" s="115" t="s">
        <v>71</v>
      </c>
      <c r="E38" s="115" t="s">
        <v>74</v>
      </c>
      <c r="F38" s="49"/>
      <c r="G38" s="105"/>
      <c r="H38" s="75"/>
      <c r="I38" s="68"/>
    </row>
    <row r="39" spans="1:9" s="48" customFormat="1" ht="18.600000000000001" thickTop="1" thickBot="1" x14ac:dyDescent="0.35">
      <c r="A39" s="59" t="s">
        <v>73</v>
      </c>
      <c r="B39" s="116">
        <f>'30'!E39</f>
        <v>928120</v>
      </c>
      <c r="C39" s="116"/>
      <c r="D39" s="116"/>
      <c r="E39" s="116">
        <f>B39+C39-D39</f>
        <v>928120</v>
      </c>
      <c r="F39" s="49"/>
      <c r="G39" s="96"/>
      <c r="H39" s="75"/>
      <c r="I39" s="68"/>
    </row>
    <row r="40" spans="1:9" ht="18.600000000000001" thickTop="1" thickBot="1" x14ac:dyDescent="0.35">
      <c r="A40" s="59" t="s">
        <v>111</v>
      </c>
      <c r="B40" s="116">
        <f>'30'!E40</f>
        <v>0</v>
      </c>
      <c r="C40" s="116"/>
      <c r="D40" s="116"/>
      <c r="E40" s="116">
        <f>B40+C40-D40</f>
        <v>0</v>
      </c>
      <c r="F40" s="49"/>
      <c r="G40" s="105"/>
      <c r="H40" s="75"/>
      <c r="I40" s="68"/>
    </row>
    <row r="41" spans="1:9" ht="18.600000000000001" thickTop="1" thickBot="1" x14ac:dyDescent="0.5">
      <c r="A41" s="193" t="s">
        <v>5</v>
      </c>
      <c r="B41" s="194"/>
      <c r="C41" s="194"/>
      <c r="D41" s="195"/>
      <c r="E41" s="121">
        <f>SUM(E43:E68)</f>
        <v>0</v>
      </c>
      <c r="F41" s="48"/>
      <c r="G41" s="105"/>
      <c r="H41" s="69"/>
      <c r="I41" s="74"/>
    </row>
    <row r="42" spans="1:9" ht="30" thickTop="1" thickBot="1" x14ac:dyDescent="0.35">
      <c r="A42" s="60" t="s">
        <v>9</v>
      </c>
      <c r="B42" s="60" t="s">
        <v>10</v>
      </c>
      <c r="C42" s="215" t="s">
        <v>11</v>
      </c>
      <c r="D42" s="216"/>
      <c r="E42" s="61" t="s">
        <v>12</v>
      </c>
      <c r="F42" s="49"/>
      <c r="G42" s="105"/>
      <c r="H42" s="75"/>
      <c r="I42" s="68"/>
    </row>
    <row r="43" spans="1:9" ht="15" thickTop="1" x14ac:dyDescent="0.3">
      <c r="A43" s="51"/>
      <c r="B43" s="56"/>
      <c r="C43" s="217"/>
      <c r="D43" s="218"/>
      <c r="E43" s="54"/>
      <c r="F43" s="48"/>
      <c r="G43" s="105"/>
      <c r="H43" s="75"/>
      <c r="I43" s="68"/>
    </row>
    <row r="44" spans="1:9" x14ac:dyDescent="0.3">
      <c r="A44" s="52"/>
      <c r="B44" s="57"/>
      <c r="C44" s="205"/>
      <c r="D44" s="206"/>
      <c r="E44" s="55"/>
      <c r="F44" s="48"/>
      <c r="G44" s="105"/>
      <c r="H44" s="75"/>
      <c r="I44" s="68"/>
    </row>
    <row r="45" spans="1:9" x14ac:dyDescent="0.3">
      <c r="A45" s="52"/>
      <c r="B45" s="57"/>
      <c r="C45" s="205"/>
      <c r="D45" s="206"/>
      <c r="E45" s="55"/>
      <c r="F45" s="48"/>
      <c r="G45" s="105"/>
      <c r="H45" s="75"/>
      <c r="I45" s="68"/>
    </row>
    <row r="46" spans="1:9" x14ac:dyDescent="0.3">
      <c r="A46" s="52"/>
      <c r="B46" s="57"/>
      <c r="C46" s="205"/>
      <c r="D46" s="206"/>
      <c r="E46" s="55"/>
      <c r="F46" s="48"/>
      <c r="G46" s="105"/>
      <c r="H46" s="75"/>
      <c r="I46" s="68"/>
    </row>
    <row r="47" spans="1:9" x14ac:dyDescent="0.3">
      <c r="A47" s="52"/>
      <c r="B47" s="57"/>
      <c r="C47" s="205"/>
      <c r="D47" s="206"/>
      <c r="E47" s="55"/>
      <c r="F47" s="48"/>
      <c r="G47" s="105"/>
      <c r="H47" s="75"/>
      <c r="I47" s="68"/>
    </row>
    <row r="48" spans="1:9" x14ac:dyDescent="0.3">
      <c r="A48" s="52"/>
      <c r="B48" s="57"/>
      <c r="C48" s="205"/>
      <c r="D48" s="206"/>
      <c r="E48" s="55"/>
      <c r="F48" s="48"/>
      <c r="G48" s="105"/>
      <c r="H48" s="75"/>
      <c r="I48" s="68"/>
    </row>
    <row r="49" spans="1:9" x14ac:dyDescent="0.3">
      <c r="A49" s="52"/>
      <c r="B49" s="57"/>
      <c r="C49" s="205"/>
      <c r="D49" s="206"/>
      <c r="E49" s="55"/>
      <c r="F49" s="48"/>
      <c r="G49" s="105"/>
      <c r="H49" s="75"/>
      <c r="I49" s="68"/>
    </row>
    <row r="50" spans="1:9" x14ac:dyDescent="0.3">
      <c r="A50" s="52"/>
      <c r="B50" s="57"/>
      <c r="C50" s="205"/>
      <c r="D50" s="206"/>
      <c r="E50" s="55"/>
      <c r="F50" s="48"/>
      <c r="G50" s="105"/>
      <c r="H50" s="75"/>
      <c r="I50" s="68"/>
    </row>
    <row r="51" spans="1:9" x14ac:dyDescent="0.3">
      <c r="A51" s="52"/>
      <c r="B51" s="57"/>
      <c r="C51" s="205"/>
      <c r="D51" s="206"/>
      <c r="E51" s="55"/>
      <c r="F51" s="48"/>
      <c r="G51" s="105"/>
      <c r="H51" s="75"/>
      <c r="I51" s="68"/>
    </row>
    <row r="52" spans="1:9" x14ac:dyDescent="0.3">
      <c r="A52" s="52"/>
      <c r="B52" s="57"/>
      <c r="C52" s="205"/>
      <c r="D52" s="206"/>
      <c r="E52" s="55"/>
      <c r="F52" s="48"/>
      <c r="G52" s="105"/>
      <c r="H52" s="75"/>
      <c r="I52" s="68"/>
    </row>
    <row r="53" spans="1:9" x14ac:dyDescent="0.3">
      <c r="A53" s="52"/>
      <c r="B53" s="57"/>
      <c r="C53" s="205"/>
      <c r="D53" s="206"/>
      <c r="E53" s="55"/>
      <c r="F53" s="48"/>
      <c r="G53" s="105"/>
      <c r="H53" s="75"/>
      <c r="I53" s="68"/>
    </row>
    <row r="54" spans="1:9" x14ac:dyDescent="0.3">
      <c r="A54" s="52"/>
      <c r="B54" s="57"/>
      <c r="C54" s="205"/>
      <c r="D54" s="206"/>
      <c r="E54" s="55"/>
      <c r="F54" s="48"/>
      <c r="G54" s="105"/>
      <c r="H54" s="75"/>
      <c r="I54" s="68"/>
    </row>
    <row r="55" spans="1:9" x14ac:dyDescent="0.3">
      <c r="A55" s="52"/>
      <c r="B55" s="57"/>
      <c r="C55" s="205"/>
      <c r="D55" s="206"/>
      <c r="E55" s="55"/>
      <c r="F55" s="48"/>
      <c r="G55" s="105"/>
      <c r="H55" s="75"/>
      <c r="I55" s="68"/>
    </row>
    <row r="56" spans="1:9" x14ac:dyDescent="0.3">
      <c r="A56" s="52"/>
      <c r="B56" s="57"/>
      <c r="C56" s="205"/>
      <c r="D56" s="206"/>
      <c r="E56" s="55"/>
      <c r="F56" s="48"/>
      <c r="G56" s="105"/>
      <c r="H56" s="75"/>
      <c r="I56" s="68"/>
    </row>
    <row r="57" spans="1:9" x14ac:dyDescent="0.3">
      <c r="A57" s="52"/>
      <c r="B57" s="57"/>
      <c r="C57" s="205"/>
      <c r="D57" s="206"/>
      <c r="E57" s="55"/>
      <c r="F57" s="48"/>
      <c r="G57" s="105"/>
      <c r="H57" s="75"/>
      <c r="I57" s="68"/>
    </row>
    <row r="58" spans="1:9" x14ac:dyDescent="0.3">
      <c r="A58" s="52"/>
      <c r="B58" s="57"/>
      <c r="C58" s="205"/>
      <c r="D58" s="206"/>
      <c r="E58" s="55"/>
      <c r="F58" s="48"/>
      <c r="G58" s="105"/>
      <c r="H58" s="75"/>
      <c r="I58" s="68"/>
    </row>
    <row r="59" spans="1:9" x14ac:dyDescent="0.3">
      <c r="A59" s="52"/>
      <c r="B59" s="57"/>
      <c r="C59" s="205"/>
      <c r="D59" s="206"/>
      <c r="E59" s="55"/>
      <c r="F59" s="48"/>
      <c r="G59" s="105"/>
      <c r="H59" s="75"/>
      <c r="I59" s="68"/>
    </row>
    <row r="60" spans="1:9" x14ac:dyDescent="0.3">
      <c r="A60" s="52"/>
      <c r="B60" s="57"/>
      <c r="C60" s="205"/>
      <c r="D60" s="206"/>
      <c r="E60" s="55"/>
      <c r="F60" s="48"/>
      <c r="G60" s="105"/>
      <c r="H60" s="75"/>
      <c r="I60" s="68"/>
    </row>
    <row r="61" spans="1:9" x14ac:dyDescent="0.3">
      <c r="A61" s="52"/>
      <c r="B61" s="57"/>
      <c r="C61" s="205"/>
      <c r="D61" s="206"/>
      <c r="E61" s="55"/>
      <c r="F61" s="48"/>
      <c r="G61" s="105"/>
      <c r="H61" s="75"/>
      <c r="I61" s="68"/>
    </row>
    <row r="62" spans="1:9" x14ac:dyDescent="0.3">
      <c r="A62" s="52"/>
      <c r="B62" s="57"/>
      <c r="C62" s="205"/>
      <c r="D62" s="206"/>
      <c r="E62" s="55"/>
      <c r="F62" s="48"/>
      <c r="G62" s="105"/>
      <c r="H62" s="75"/>
      <c r="I62" s="68"/>
    </row>
    <row r="63" spans="1:9" x14ac:dyDescent="0.3">
      <c r="A63" s="52"/>
      <c r="B63" s="57"/>
      <c r="C63" s="205"/>
      <c r="D63" s="206"/>
      <c r="E63" s="55"/>
      <c r="F63" s="48"/>
      <c r="G63" s="105"/>
      <c r="H63" s="75"/>
      <c r="I63" s="68"/>
    </row>
    <row r="64" spans="1:9" x14ac:dyDescent="0.3">
      <c r="A64" s="52"/>
      <c r="B64" s="57"/>
      <c r="C64" s="205"/>
      <c r="D64" s="206"/>
      <c r="E64" s="55"/>
      <c r="F64" s="48"/>
      <c r="G64" s="105"/>
      <c r="H64" s="75"/>
      <c r="I64" s="68"/>
    </row>
    <row r="65" spans="1:9" x14ac:dyDescent="0.3">
      <c r="A65" s="52"/>
      <c r="B65" s="57"/>
      <c r="C65" s="205"/>
      <c r="D65" s="206"/>
      <c r="E65" s="55"/>
      <c r="F65" s="48"/>
      <c r="G65" s="105"/>
      <c r="H65" s="75"/>
      <c r="I65" s="68"/>
    </row>
    <row r="66" spans="1:9" x14ac:dyDescent="0.3">
      <c r="A66" s="52"/>
      <c r="B66" s="57"/>
      <c r="C66" s="205"/>
      <c r="D66" s="206"/>
      <c r="E66" s="55"/>
      <c r="F66" s="48"/>
      <c r="G66" s="105"/>
      <c r="H66" s="75"/>
      <c r="I66" s="68"/>
    </row>
    <row r="67" spans="1:9" x14ac:dyDescent="0.3">
      <c r="A67" s="52"/>
      <c r="B67" s="57"/>
      <c r="C67" s="205"/>
      <c r="D67" s="206"/>
      <c r="E67" s="55"/>
      <c r="F67" s="48"/>
      <c r="G67" s="105"/>
      <c r="H67" s="75"/>
      <c r="I67" s="68"/>
    </row>
    <row r="68" spans="1:9" ht="15" thickBot="1" x14ac:dyDescent="0.35">
      <c r="A68" s="53"/>
      <c r="B68" s="58"/>
      <c r="C68" s="191"/>
      <c r="D68" s="192"/>
      <c r="E68" s="77"/>
      <c r="F68" s="48"/>
      <c r="G68" s="105"/>
      <c r="H68" s="75"/>
      <c r="I68" s="68"/>
    </row>
    <row r="69" spans="1:9" ht="15.6" thickTop="1" thickBot="1" x14ac:dyDescent="0.35">
      <c r="A69" s="48"/>
      <c r="B69" s="48"/>
      <c r="C69" s="48"/>
      <c r="D69" s="50"/>
      <c r="E69" s="50"/>
      <c r="F69" s="48"/>
      <c r="G69" s="105"/>
      <c r="H69" s="75"/>
      <c r="I69" s="68"/>
    </row>
    <row r="70" spans="1:9" ht="15.6" thickTop="1" thickBot="1" x14ac:dyDescent="0.35">
      <c r="A70" s="80" t="s">
        <v>25</v>
      </c>
      <c r="B70" s="81" t="s">
        <v>8</v>
      </c>
      <c r="C70" s="48"/>
      <c r="D70" s="50"/>
      <c r="E70" s="50"/>
      <c r="F70" s="48"/>
      <c r="G70" s="105"/>
      <c r="H70" s="75"/>
      <c r="I70" s="68"/>
    </row>
    <row r="71" spans="1:9" ht="15" thickTop="1" x14ac:dyDescent="0.3">
      <c r="A71" s="159" t="s">
        <v>95</v>
      </c>
      <c r="B71" s="82"/>
      <c r="C71" s="48"/>
      <c r="D71" s="50"/>
      <c r="E71" s="50"/>
      <c r="F71" s="48"/>
      <c r="G71" s="105"/>
      <c r="H71" s="75"/>
      <c r="I71" s="68"/>
    </row>
    <row r="72" spans="1:9" s="48" customFormat="1" x14ac:dyDescent="0.3">
      <c r="A72" s="87" t="s">
        <v>96</v>
      </c>
      <c r="B72" s="147"/>
      <c r="D72" s="50"/>
      <c r="E72" s="50"/>
      <c r="G72" s="105"/>
      <c r="H72" s="75"/>
      <c r="I72" s="68"/>
    </row>
    <row r="73" spans="1:9" s="48" customFormat="1" ht="15" thickBot="1" x14ac:dyDescent="0.35">
      <c r="A73" s="160" t="s">
        <v>97</v>
      </c>
      <c r="B73" s="161"/>
      <c r="D73" s="50"/>
      <c r="E73" s="50"/>
      <c r="G73" s="105"/>
      <c r="H73" s="75"/>
      <c r="I73" s="68"/>
    </row>
    <row r="74" spans="1:9" ht="15" thickTop="1" x14ac:dyDescent="0.3">
      <c r="A74" s="87" t="s">
        <v>93</v>
      </c>
      <c r="B74" s="147"/>
      <c r="C74" s="48"/>
      <c r="D74" s="50"/>
      <c r="E74" s="50"/>
      <c r="F74" s="48"/>
      <c r="G74" s="105"/>
      <c r="H74" s="75"/>
      <c r="I74" s="68"/>
    </row>
    <row r="75" spans="1:9" x14ac:dyDescent="0.3">
      <c r="A75" s="88" t="s">
        <v>35</v>
      </c>
      <c r="B75" s="64">
        <f>B77*0.1568</f>
        <v>0</v>
      </c>
      <c r="C75" s="48"/>
      <c r="D75" s="50"/>
      <c r="E75" s="50"/>
      <c r="F75" s="48"/>
      <c r="G75" s="105"/>
      <c r="H75" s="75"/>
      <c r="I75" s="68"/>
    </row>
    <row r="76" spans="1:9" ht="28.8" x14ac:dyDescent="0.3">
      <c r="A76" s="88" t="s">
        <v>28</v>
      </c>
      <c r="B76" s="64"/>
      <c r="C76" s="48"/>
      <c r="D76" s="50"/>
      <c r="E76" s="50"/>
      <c r="F76" s="48"/>
      <c r="G76" s="105"/>
      <c r="H76" s="75"/>
      <c r="I76" s="68"/>
    </row>
    <row r="77" spans="1:9" ht="28.8" x14ac:dyDescent="0.3">
      <c r="A77" s="63" t="s">
        <v>29</v>
      </c>
      <c r="B77" s="64"/>
      <c r="C77" s="48"/>
      <c r="D77" s="50"/>
      <c r="E77" s="50"/>
      <c r="F77" s="48"/>
      <c r="G77" s="105"/>
      <c r="H77" s="75"/>
      <c r="I77" s="68"/>
    </row>
    <row r="78" spans="1:9" ht="28.8" x14ac:dyDescent="0.3">
      <c r="A78" s="63" t="str">
        <f>A19</f>
        <v>GÜNLÜK KASADAN HARCAMALAR TOPLAMI</v>
      </c>
      <c r="B78" s="64">
        <f>D19</f>
        <v>0</v>
      </c>
      <c r="C78" s="48"/>
      <c r="D78" s="50"/>
      <c r="E78" s="50"/>
      <c r="F78" s="48"/>
      <c r="G78" s="105"/>
      <c r="H78" s="78"/>
      <c r="I78" s="79"/>
    </row>
    <row r="79" spans="1:9" x14ac:dyDescent="0.3">
      <c r="A79" s="83" t="s">
        <v>86</v>
      </c>
      <c r="B79" s="64"/>
      <c r="C79" s="48"/>
      <c r="D79" s="50"/>
      <c r="E79" s="50"/>
      <c r="F79" s="48"/>
      <c r="G79" s="105"/>
      <c r="H79" s="78"/>
      <c r="I79" s="79"/>
    </row>
    <row r="80" spans="1:9" ht="15" thickBot="1" x14ac:dyDescent="0.35">
      <c r="A80" s="84"/>
      <c r="B80" s="65"/>
      <c r="C80" s="48"/>
      <c r="D80" s="50"/>
      <c r="E80" s="50"/>
      <c r="F80" s="48"/>
      <c r="G80" s="113"/>
      <c r="H80" s="78"/>
      <c r="I80" s="79"/>
    </row>
    <row r="81" spans="1:9" ht="15.6" thickTop="1" thickBot="1" x14ac:dyDescent="0.35">
      <c r="A81" s="66" t="s">
        <v>27</v>
      </c>
      <c r="B81" s="67">
        <f>SUM(B71:B80)</f>
        <v>0</v>
      </c>
      <c r="C81" s="50">
        <f>E2-B81</f>
        <v>0</v>
      </c>
      <c r="D81" s="50"/>
      <c r="E81" s="50"/>
      <c r="F81" s="48"/>
      <c r="G81" s="48"/>
      <c r="H81" s="85" t="s">
        <v>22</v>
      </c>
      <c r="I81" s="82">
        <f>SUM(I3:I77)</f>
        <v>0</v>
      </c>
    </row>
    <row r="82" spans="1:9" ht="15.6" thickTop="1" thickBot="1" x14ac:dyDescent="0.35">
      <c r="A82" s="48"/>
      <c r="B82" s="48"/>
      <c r="C82" s="48"/>
      <c r="D82" s="50"/>
      <c r="E82" s="50"/>
      <c r="F82" s="48"/>
      <c r="G82" s="48"/>
      <c r="H82" s="86" t="s">
        <v>23</v>
      </c>
      <c r="I82" s="65">
        <f>I81-E41</f>
        <v>0</v>
      </c>
    </row>
    <row r="83" spans="1:9" ht="18.600000000000001" thickTop="1" thickBot="1" x14ac:dyDescent="0.5">
      <c r="A83" s="193" t="s">
        <v>13</v>
      </c>
      <c r="B83" s="194"/>
      <c r="C83" s="194"/>
      <c r="D83" s="194"/>
      <c r="E83" s="195"/>
      <c r="F83" s="48"/>
      <c r="G83" s="48"/>
      <c r="H83" s="48"/>
      <c r="I83" s="50"/>
    </row>
    <row r="84" spans="1:9" ht="15.6" thickTop="1" thickBot="1" x14ac:dyDescent="0.35">
      <c r="A84" s="303"/>
      <c r="B84" s="304"/>
      <c r="C84" s="304"/>
      <c r="D84" s="304"/>
      <c r="E84" s="305"/>
      <c r="F84" s="48"/>
      <c r="G84" s="48"/>
      <c r="H84" s="66" t="s">
        <v>26</v>
      </c>
      <c r="I84" s="67"/>
    </row>
    <row r="85" spans="1:9" ht="15.6" thickTop="1" thickBot="1" x14ac:dyDescent="0.35">
      <c r="A85" s="303"/>
      <c r="B85" s="304"/>
      <c r="C85" s="304"/>
      <c r="D85" s="304"/>
      <c r="E85" s="305"/>
      <c r="F85" s="48"/>
      <c r="G85" s="48"/>
      <c r="H85" s="48"/>
      <c r="I85" s="50"/>
    </row>
    <row r="86" spans="1:9" ht="15.6" thickTop="1" thickBot="1" x14ac:dyDescent="0.35">
      <c r="A86" s="303"/>
      <c r="B86" s="304"/>
      <c r="C86" s="304"/>
      <c r="D86" s="304"/>
      <c r="E86" s="305"/>
      <c r="F86" s="48"/>
      <c r="G86" s="48"/>
      <c r="H86" s="48"/>
      <c r="I86" s="50"/>
    </row>
    <row r="87" spans="1:9" ht="15.6" thickTop="1" thickBot="1" x14ac:dyDescent="0.35">
      <c r="A87" s="303"/>
      <c r="B87" s="304"/>
      <c r="C87" s="304"/>
      <c r="D87" s="304"/>
      <c r="E87" s="305"/>
      <c r="F87" s="48"/>
      <c r="G87" s="48"/>
      <c r="H87" s="48"/>
      <c r="I87" s="50"/>
    </row>
    <row r="88" spans="1:9" ht="15.6" thickTop="1" thickBot="1" x14ac:dyDescent="0.35">
      <c r="A88" s="303"/>
      <c r="B88" s="304"/>
      <c r="C88" s="304"/>
      <c r="D88" s="304"/>
      <c r="E88" s="305"/>
      <c r="F88" s="48"/>
      <c r="G88" s="48"/>
      <c r="H88" s="48"/>
      <c r="I88" s="50"/>
    </row>
    <row r="89" spans="1:9" ht="15.6" thickTop="1" thickBot="1" x14ac:dyDescent="0.35">
      <c r="A89" s="303"/>
      <c r="B89" s="304"/>
      <c r="C89" s="304"/>
      <c r="D89" s="304"/>
      <c r="E89" s="305"/>
      <c r="F89" s="48"/>
      <c r="G89" s="48"/>
      <c r="H89" s="48"/>
      <c r="I89" s="50"/>
    </row>
    <row r="90" spans="1:9" ht="15.6" thickTop="1" thickBot="1" x14ac:dyDescent="0.35">
      <c r="A90" s="303"/>
      <c r="B90" s="304"/>
      <c r="C90" s="304"/>
      <c r="D90" s="304"/>
      <c r="E90" s="305"/>
      <c r="F90" s="48"/>
      <c r="G90" s="48"/>
      <c r="H90" s="48"/>
      <c r="I90" s="50"/>
    </row>
    <row r="91" spans="1:9" ht="15" thickTop="1" x14ac:dyDescent="0.3">
      <c r="A91" s="48"/>
      <c r="B91" s="48"/>
      <c r="C91" s="48"/>
      <c r="D91" s="50"/>
      <c r="E91" s="50"/>
      <c r="F91" s="48"/>
      <c r="G91" s="48"/>
      <c r="H91" s="48"/>
      <c r="I91" s="50"/>
    </row>
    <row r="92" spans="1:9" x14ac:dyDescent="0.3">
      <c r="A92" s="48"/>
      <c r="B92" s="48"/>
      <c r="C92" s="48"/>
      <c r="D92" s="50"/>
      <c r="E92" s="50"/>
      <c r="F92" s="48"/>
      <c r="G92" s="48"/>
      <c r="H92" s="48"/>
      <c r="I92" s="50"/>
    </row>
    <row r="93" spans="1:9" x14ac:dyDescent="0.3">
      <c r="A93" s="48" t="s">
        <v>14</v>
      </c>
      <c r="B93" s="48" t="s">
        <v>103</v>
      </c>
      <c r="C93" s="48"/>
      <c r="D93" s="50"/>
      <c r="E93" s="50"/>
      <c r="F93" s="48"/>
      <c r="G93" s="48"/>
      <c r="H93" s="48"/>
      <c r="I93" s="50"/>
    </row>
  </sheetData>
  <mergeCells count="96">
    <mergeCell ref="B26:C26"/>
    <mergeCell ref="A9:B9"/>
    <mergeCell ref="D9:E9"/>
    <mergeCell ref="A11:B11"/>
    <mergeCell ref="A16:C16"/>
    <mergeCell ref="D16:E16"/>
    <mergeCell ref="D11:E11"/>
    <mergeCell ref="A15:C15"/>
    <mergeCell ref="D15:E15"/>
    <mergeCell ref="D12:E12"/>
    <mergeCell ref="A13:C13"/>
    <mergeCell ref="D13:E13"/>
    <mergeCell ref="A12:B12"/>
    <mergeCell ref="A14:C14"/>
    <mergeCell ref="D14:E14"/>
    <mergeCell ref="A10:B10"/>
    <mergeCell ref="D10:E10"/>
    <mergeCell ref="B21:C21"/>
    <mergeCell ref="D21:E21"/>
    <mergeCell ref="B22:C22"/>
    <mergeCell ref="D22:E22"/>
    <mergeCell ref="A17:C17"/>
    <mergeCell ref="D17:E17"/>
    <mergeCell ref="A18:E18"/>
    <mergeCell ref="B23:C23"/>
    <mergeCell ref="D23:E23"/>
    <mergeCell ref="D20:E20"/>
    <mergeCell ref="D19:E19"/>
    <mergeCell ref="B20:C20"/>
    <mergeCell ref="A19:C19"/>
    <mergeCell ref="D8:E8"/>
    <mergeCell ref="B1:E1"/>
    <mergeCell ref="D7:E7"/>
    <mergeCell ref="C2:D2"/>
    <mergeCell ref="A3:B3"/>
    <mergeCell ref="A7:B7"/>
    <mergeCell ref="A8:B8"/>
    <mergeCell ref="A4:B4"/>
    <mergeCell ref="D4:E4"/>
    <mergeCell ref="A5:B5"/>
    <mergeCell ref="D5:E5"/>
    <mergeCell ref="A6:B6"/>
    <mergeCell ref="D6:E6"/>
    <mergeCell ref="B29:C29"/>
    <mergeCell ref="D29:E29"/>
    <mergeCell ref="B27:C27"/>
    <mergeCell ref="D27:E27"/>
    <mergeCell ref="C50:D50"/>
    <mergeCell ref="C49:D49"/>
    <mergeCell ref="C48:D48"/>
    <mergeCell ref="C46:D46"/>
    <mergeCell ref="C47:D47"/>
    <mergeCell ref="B30:C30"/>
    <mergeCell ref="B31:C31"/>
    <mergeCell ref="D31:E31"/>
    <mergeCell ref="D30:E30"/>
    <mergeCell ref="D32:E32"/>
    <mergeCell ref="C44:D44"/>
    <mergeCell ref="C42:D42"/>
    <mergeCell ref="C68:D68"/>
    <mergeCell ref="A83:E83"/>
    <mergeCell ref="A84:E90"/>
    <mergeCell ref="C67:D67"/>
    <mergeCell ref="C43:D43"/>
    <mergeCell ref="C55:D55"/>
    <mergeCell ref="C51:D51"/>
    <mergeCell ref="C52:D52"/>
    <mergeCell ref="C56:D56"/>
    <mergeCell ref="C57:D57"/>
    <mergeCell ref="C58:D58"/>
    <mergeCell ref="C59:D59"/>
    <mergeCell ref="C53:D53"/>
    <mergeCell ref="C54:D54"/>
    <mergeCell ref="C66:D66"/>
    <mergeCell ref="C45:D45"/>
    <mergeCell ref="B33:C33"/>
    <mergeCell ref="A34:C34"/>
    <mergeCell ref="D34:E34"/>
    <mergeCell ref="C63:D63"/>
    <mergeCell ref="C64:D64"/>
    <mergeCell ref="B28:C28"/>
    <mergeCell ref="C62:D62"/>
    <mergeCell ref="C60:D60"/>
    <mergeCell ref="C61:D61"/>
    <mergeCell ref="C65:D65"/>
    <mergeCell ref="B32:C32"/>
    <mergeCell ref="D33:E33"/>
    <mergeCell ref="B35:E35"/>
    <mergeCell ref="A41:D41"/>
    <mergeCell ref="A20:A33"/>
    <mergeCell ref="B24:C24"/>
    <mergeCell ref="D24:E24"/>
    <mergeCell ref="B25:C25"/>
    <mergeCell ref="D25:E25"/>
    <mergeCell ref="D26:E26"/>
    <mergeCell ref="D28:E2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W93"/>
  <sheetViews>
    <sheetView workbookViewId="0">
      <pane xSplit="1" ySplit="2" topLeftCell="I15" activePane="bottomRight" state="frozen"/>
      <selection activeCell="X1" sqref="A1:X1048576"/>
      <selection pane="topRight" activeCell="X1" sqref="A1:X1048576"/>
      <selection pane="bottomLeft" activeCell="X1" sqref="A1:X1048576"/>
      <selection pane="bottomRight" activeCell="A2" sqref="A2"/>
    </sheetView>
  </sheetViews>
  <sheetFormatPr defaultColWidth="9.44140625" defaultRowHeight="14.4" x14ac:dyDescent="0.3"/>
  <cols>
    <col min="1" max="1" width="23.6640625" style="26" bestFit="1" customWidth="1"/>
    <col min="2" max="3" width="12.6640625" style="11" customWidth="1"/>
    <col min="4" max="4" width="16.5546875" style="11" customWidth="1"/>
    <col min="5" max="15" width="12.6640625" style="11" customWidth="1"/>
    <col min="16" max="16" width="14.109375" style="11" bestFit="1" customWidth="1"/>
    <col min="17" max="17" width="13.77734375" style="11" bestFit="1" customWidth="1"/>
    <col min="18" max="18" width="12.6640625" style="11" bestFit="1" customWidth="1"/>
    <col min="19" max="19" width="9.44140625" style="11"/>
    <col min="20" max="20" width="17.88671875" style="11" bestFit="1" customWidth="1"/>
    <col min="21" max="16384" width="9.44140625" style="11"/>
  </cols>
  <sheetData>
    <row r="1" spans="1:17" ht="21.6" thickBot="1" x14ac:dyDescent="0.45">
      <c r="A1" s="312" t="s">
        <v>144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</row>
    <row r="2" spans="1:17" ht="15.6" thickTop="1" thickBot="1" x14ac:dyDescent="0.35">
      <c r="A2" s="8" t="s">
        <v>7</v>
      </c>
      <c r="B2" s="9">
        <f>'1'!A1</f>
        <v>46174</v>
      </c>
      <c r="C2" s="10">
        <f>B2+1</f>
        <v>46175</v>
      </c>
      <c r="D2" s="9">
        <f t="shared" ref="D2:P2" si="0">C2+1</f>
        <v>46176</v>
      </c>
      <c r="E2" s="9">
        <f t="shared" si="0"/>
        <v>46177</v>
      </c>
      <c r="F2" s="9">
        <f t="shared" si="0"/>
        <v>46178</v>
      </c>
      <c r="G2" s="10">
        <f t="shared" si="0"/>
        <v>46179</v>
      </c>
      <c r="H2" s="9">
        <f t="shared" si="0"/>
        <v>46180</v>
      </c>
      <c r="I2" s="10">
        <f t="shared" si="0"/>
        <v>46181</v>
      </c>
      <c r="J2" s="9">
        <f t="shared" si="0"/>
        <v>46182</v>
      </c>
      <c r="K2" s="10">
        <f t="shared" si="0"/>
        <v>46183</v>
      </c>
      <c r="L2" s="9">
        <f t="shared" si="0"/>
        <v>46184</v>
      </c>
      <c r="M2" s="10">
        <f t="shared" si="0"/>
        <v>46185</v>
      </c>
      <c r="N2" s="9">
        <f t="shared" si="0"/>
        <v>46186</v>
      </c>
      <c r="O2" s="10">
        <f t="shared" si="0"/>
        <v>46187</v>
      </c>
      <c r="P2" s="9">
        <f t="shared" si="0"/>
        <v>46188</v>
      </c>
      <c r="Q2" s="9">
        <f>P2+1</f>
        <v>46189</v>
      </c>
    </row>
    <row r="3" spans="1:17" ht="15" thickTop="1" x14ac:dyDescent="0.3">
      <c r="A3" s="17" t="s">
        <v>16</v>
      </c>
      <c r="B3" s="27">
        <f>'1'!$C$3</f>
        <v>0</v>
      </c>
      <c r="C3" s="27">
        <f>'2'!$C$3</f>
        <v>0</v>
      </c>
      <c r="D3" s="27">
        <f>'3'!$C$3</f>
        <v>0</v>
      </c>
      <c r="E3" s="27">
        <f>'4'!$C$3</f>
        <v>0</v>
      </c>
      <c r="F3" s="27">
        <f>'5'!$C$3</f>
        <v>45</v>
      </c>
      <c r="G3" s="27">
        <f>'6'!$C$3</f>
        <v>0</v>
      </c>
      <c r="H3" s="27">
        <f>'7'!$C$3</f>
        <v>0</v>
      </c>
      <c r="I3" s="27">
        <f>'8'!$C$3</f>
        <v>0</v>
      </c>
      <c r="J3" s="27">
        <f>'9'!$C$3</f>
        <v>0</v>
      </c>
      <c r="K3" s="27">
        <f>'10'!$C$3</f>
        <v>0</v>
      </c>
      <c r="L3" s="27">
        <f>'11'!$C$3</f>
        <v>0</v>
      </c>
      <c r="M3" s="27">
        <f>'12'!$C$3</f>
        <v>0</v>
      </c>
      <c r="N3" s="27">
        <f>'13'!$C$3</f>
        <v>0</v>
      </c>
      <c r="O3" s="27">
        <f>'14'!$C$3</f>
        <v>0</v>
      </c>
      <c r="P3" s="27">
        <f>'15'!$C$3</f>
        <v>0</v>
      </c>
      <c r="Q3" s="27">
        <f>'16'!$C$3</f>
        <v>0</v>
      </c>
    </row>
    <row r="4" spans="1:17" x14ac:dyDescent="0.3">
      <c r="A4" s="19" t="s">
        <v>87</v>
      </c>
      <c r="B4" s="28">
        <f>'1'!$C$4</f>
        <v>0</v>
      </c>
      <c r="C4" s="28">
        <f>'2'!$C$4</f>
        <v>0</v>
      </c>
      <c r="D4" s="28">
        <f>'3'!$C$4</f>
        <v>0</v>
      </c>
      <c r="E4" s="28">
        <f>'4'!$C$4</f>
        <v>0</v>
      </c>
      <c r="F4" s="28">
        <f>'5'!$C$4</f>
        <v>0</v>
      </c>
      <c r="G4" s="28">
        <f>'6'!$C$4</f>
        <v>0</v>
      </c>
      <c r="H4" s="28">
        <f>'7'!$C$4</f>
        <v>0</v>
      </c>
      <c r="I4" s="28">
        <f>'8'!$C$4</f>
        <v>0</v>
      </c>
      <c r="J4" s="28">
        <f>'9'!$C$4</f>
        <v>0</v>
      </c>
      <c r="K4" s="28">
        <f>'10'!$C$4</f>
        <v>0</v>
      </c>
      <c r="L4" s="28">
        <f>'11'!$C$4</f>
        <v>0</v>
      </c>
      <c r="M4" s="28">
        <f>'12'!$C$4</f>
        <v>0</v>
      </c>
      <c r="N4" s="28">
        <f>'13'!$C$4</f>
        <v>0</v>
      </c>
      <c r="O4" s="28">
        <f>'14'!$C$4</f>
        <v>0</v>
      </c>
      <c r="P4" s="28">
        <f>'15'!$C$4</f>
        <v>0</v>
      </c>
      <c r="Q4" s="28">
        <f>'16'!$C$4</f>
        <v>0</v>
      </c>
    </row>
    <row r="5" spans="1:17" x14ac:dyDescent="0.3">
      <c r="A5" s="63" t="s">
        <v>110</v>
      </c>
      <c r="B5" s="28">
        <f>'1'!$C$5</f>
        <v>0</v>
      </c>
      <c r="C5" s="28">
        <f>'2'!$C$5</f>
        <v>0</v>
      </c>
      <c r="D5" s="28">
        <f>'3'!$C$5</f>
        <v>0</v>
      </c>
      <c r="E5" s="28">
        <f>'4'!$C$5</f>
        <v>0</v>
      </c>
      <c r="F5" s="28">
        <f>'5'!$C$5</f>
        <v>0</v>
      </c>
      <c r="G5" s="28">
        <f>'6'!$C$5</f>
        <v>0</v>
      </c>
      <c r="H5" s="28">
        <f>'7'!$C$5</f>
        <v>0</v>
      </c>
      <c r="I5" s="28">
        <f>'8'!$C$5</f>
        <v>0</v>
      </c>
      <c r="J5" s="28">
        <f>'9'!$C$5</f>
        <v>0</v>
      </c>
      <c r="K5" s="28">
        <f>'10'!$C$5</f>
        <v>0</v>
      </c>
      <c r="L5" s="28">
        <f>'11'!$C$5</f>
        <v>0</v>
      </c>
      <c r="M5" s="28">
        <f>'12'!$C$5</f>
        <v>0</v>
      </c>
      <c r="N5" s="28">
        <f>'13'!$C$5</f>
        <v>0</v>
      </c>
      <c r="O5" s="28">
        <f>'14'!$C$5</f>
        <v>0</v>
      </c>
      <c r="P5" s="28">
        <f>'15'!$C$5</f>
        <v>0</v>
      </c>
      <c r="Q5" s="28">
        <f>'16'!$C$5</f>
        <v>0</v>
      </c>
    </row>
    <row r="6" spans="1:17" x14ac:dyDescent="0.3">
      <c r="A6" s="63" t="s">
        <v>44</v>
      </c>
      <c r="B6" s="28">
        <f>'1'!$C$6</f>
        <v>0</v>
      </c>
      <c r="C6" s="28">
        <f>'2'!$C$6</f>
        <v>0</v>
      </c>
      <c r="D6" s="28">
        <f>'3'!$C$6</f>
        <v>0</v>
      </c>
      <c r="E6" s="28">
        <f>'4'!$C$6</f>
        <v>0</v>
      </c>
      <c r="F6" s="28">
        <f>'5'!$C$6</f>
        <v>0</v>
      </c>
      <c r="G6" s="28">
        <f>'6'!$C$6</f>
        <v>0</v>
      </c>
      <c r="H6" s="28">
        <f>'7'!$C$6</f>
        <v>0</v>
      </c>
      <c r="I6" s="28">
        <f>'8'!$C$6</f>
        <v>0</v>
      </c>
      <c r="J6" s="28">
        <f>'9'!$C$6</f>
        <v>0</v>
      </c>
      <c r="K6" s="28">
        <f>'10'!$C$6</f>
        <v>0</v>
      </c>
      <c r="L6" s="28">
        <f>'11'!$C$6</f>
        <v>0</v>
      </c>
      <c r="M6" s="28">
        <f>'12'!$C$6</f>
        <v>0</v>
      </c>
      <c r="N6" s="28">
        <f>'13'!$C$6</f>
        <v>0</v>
      </c>
      <c r="O6" s="28">
        <f>'14'!$C$6</f>
        <v>0</v>
      </c>
      <c r="P6" s="28">
        <f>'15'!$C$6</f>
        <v>0</v>
      </c>
      <c r="Q6" s="28">
        <f>'16'!$C$6</f>
        <v>0</v>
      </c>
    </row>
    <row r="7" spans="1:17" x14ac:dyDescent="0.3">
      <c r="A7" s="63" t="s">
        <v>75</v>
      </c>
      <c r="B7" s="28">
        <f>'1'!$C$7</f>
        <v>0</v>
      </c>
      <c r="C7" s="28">
        <f>'2'!$C$7</f>
        <v>0</v>
      </c>
      <c r="D7" s="28">
        <f>'3'!$C$7</f>
        <v>0</v>
      </c>
      <c r="E7" s="28">
        <f>'4'!$C$7</f>
        <v>0</v>
      </c>
      <c r="F7" s="28">
        <f>'5'!$C$7</f>
        <v>0</v>
      </c>
      <c r="G7" s="28">
        <f>'6'!$C$7</f>
        <v>0</v>
      </c>
      <c r="H7" s="28">
        <f>'7'!$C$7</f>
        <v>0</v>
      </c>
      <c r="I7" s="28">
        <f>'8'!$C$7</f>
        <v>0</v>
      </c>
      <c r="J7" s="28">
        <f>'9'!$C$7</f>
        <v>0</v>
      </c>
      <c r="K7" s="28">
        <f>'10'!$C$7</f>
        <v>0</v>
      </c>
      <c r="L7" s="28">
        <f>'11'!$C$7</f>
        <v>0</v>
      </c>
      <c r="M7" s="28">
        <f>'12'!$C$7</f>
        <v>0</v>
      </c>
      <c r="N7" s="28">
        <f>'13'!$C$7</f>
        <v>0</v>
      </c>
      <c r="O7" s="28">
        <f>'14'!$C$7</f>
        <v>0</v>
      </c>
      <c r="P7" s="28">
        <f>'15'!$C$7</f>
        <v>0</v>
      </c>
      <c r="Q7" s="28">
        <f>'16'!$C$7</f>
        <v>0</v>
      </c>
    </row>
    <row r="8" spans="1:17" x14ac:dyDescent="0.3">
      <c r="A8" s="63" t="s">
        <v>49</v>
      </c>
      <c r="B8" s="28">
        <f>'1'!$C$8</f>
        <v>0</v>
      </c>
      <c r="C8" s="28">
        <f>'2'!$C$8</f>
        <v>0</v>
      </c>
      <c r="D8" s="28">
        <f>'3'!$C$8</f>
        <v>0</v>
      </c>
      <c r="E8" s="28">
        <f>'4'!$C$8</f>
        <v>0</v>
      </c>
      <c r="F8" s="28">
        <f>'5'!$C$8</f>
        <v>0</v>
      </c>
      <c r="G8" s="28">
        <f>'6'!$C$8</f>
        <v>0</v>
      </c>
      <c r="H8" s="28">
        <f>'7'!$C$8</f>
        <v>0</v>
      </c>
      <c r="I8" s="28">
        <f>'8'!$C$8</f>
        <v>0</v>
      </c>
      <c r="J8" s="28">
        <f>'9'!$C$8</f>
        <v>0</v>
      </c>
      <c r="K8" s="28">
        <f>'10'!$C$8</f>
        <v>0</v>
      </c>
      <c r="L8" s="28">
        <f>'11'!$C$8</f>
        <v>0</v>
      </c>
      <c r="M8" s="28">
        <f>'12'!$C$8</f>
        <v>0</v>
      </c>
      <c r="N8" s="28">
        <f>'13'!$C$8</f>
        <v>0</v>
      </c>
      <c r="O8" s="28">
        <f>'14'!$C$8</f>
        <v>0</v>
      </c>
      <c r="P8" s="28">
        <f>'15'!$C$8</f>
        <v>0</v>
      </c>
      <c r="Q8" s="28">
        <f>'16'!$C$8</f>
        <v>0</v>
      </c>
    </row>
    <row r="9" spans="1:17" x14ac:dyDescent="0.3">
      <c r="A9" s="63" t="s">
        <v>15</v>
      </c>
      <c r="B9" s="28">
        <f>'1'!$C$9</f>
        <v>0</v>
      </c>
      <c r="C9" s="28">
        <f>'2'!$C$9</f>
        <v>0</v>
      </c>
      <c r="D9" s="28">
        <f>'3'!$C$9</f>
        <v>0</v>
      </c>
      <c r="E9" s="28">
        <f>'4'!$C$9</f>
        <v>0</v>
      </c>
      <c r="F9" s="28">
        <f>'5'!$C$9</f>
        <v>2</v>
      </c>
      <c r="G9" s="28">
        <f>'6'!$C$9</f>
        <v>0</v>
      </c>
      <c r="H9" s="28">
        <f>'7'!$C$9</f>
        <v>0</v>
      </c>
      <c r="I9" s="28">
        <f>'8'!$C$9</f>
        <v>0</v>
      </c>
      <c r="J9" s="28">
        <f>'9'!$C$9</f>
        <v>0</v>
      </c>
      <c r="K9" s="28">
        <f>'10'!$C$9</f>
        <v>0</v>
      </c>
      <c r="L9" s="28">
        <f>'11'!$C$9</f>
        <v>0</v>
      </c>
      <c r="M9" s="28">
        <f>'12'!$C$9</f>
        <v>0</v>
      </c>
      <c r="N9" s="28">
        <f>'13'!$C$9</f>
        <v>0</v>
      </c>
      <c r="O9" s="28">
        <f>'14'!$C$9</f>
        <v>0</v>
      </c>
      <c r="P9" s="28">
        <f>'15'!$C$9</f>
        <v>0</v>
      </c>
      <c r="Q9" s="28">
        <f>'16'!$C$9</f>
        <v>0</v>
      </c>
    </row>
    <row r="10" spans="1:17" x14ac:dyDescent="0.3">
      <c r="A10" s="63" t="s">
        <v>100</v>
      </c>
      <c r="B10" s="28">
        <f>'1'!$C$10</f>
        <v>0</v>
      </c>
      <c r="C10" s="28">
        <f>'2'!$C$10</f>
        <v>0</v>
      </c>
      <c r="D10" s="28">
        <f>'3'!$C$10</f>
        <v>0</v>
      </c>
      <c r="E10" s="28">
        <f>'4'!$C$10</f>
        <v>0</v>
      </c>
      <c r="F10" s="28">
        <f>'5'!$C$10</f>
        <v>0</v>
      </c>
      <c r="G10" s="28">
        <f>'6'!$C$10</f>
        <v>0</v>
      </c>
      <c r="H10" s="28">
        <f>'7'!$C$10</f>
        <v>0</v>
      </c>
      <c r="I10" s="28">
        <f>'8'!$C$10</f>
        <v>0</v>
      </c>
      <c r="J10" s="28">
        <f>'9'!$C$10</f>
        <v>0</v>
      </c>
      <c r="K10" s="28">
        <f>'10'!$C$10</f>
        <v>0</v>
      </c>
      <c r="L10" s="28">
        <f>'11'!$C$10</f>
        <v>0</v>
      </c>
      <c r="M10" s="28">
        <f>'12'!$C$10</f>
        <v>0</v>
      </c>
      <c r="N10" s="28">
        <f>'13'!$C$10</f>
        <v>0</v>
      </c>
      <c r="O10" s="28">
        <f>'14'!$C$10</f>
        <v>0</v>
      </c>
      <c r="P10" s="28">
        <f>'15'!$C$10</f>
        <v>0</v>
      </c>
      <c r="Q10" s="28">
        <f>'16'!$C$10</f>
        <v>0</v>
      </c>
    </row>
    <row r="11" spans="1:17" x14ac:dyDescent="0.3">
      <c r="A11" s="63" t="s">
        <v>47</v>
      </c>
      <c r="B11" s="28">
        <f>'1'!$C$11</f>
        <v>0</v>
      </c>
      <c r="C11" s="28">
        <f>'2'!$C$11</f>
        <v>0</v>
      </c>
      <c r="D11" s="28">
        <f>'3'!$C$11</f>
        <v>0</v>
      </c>
      <c r="E11" s="28">
        <f>'4'!$C$11</f>
        <v>0</v>
      </c>
      <c r="F11" s="28">
        <f>'5'!$C$11</f>
        <v>5</v>
      </c>
      <c r="G11" s="28">
        <f>'6'!$C$11</f>
        <v>0</v>
      </c>
      <c r="H11" s="28">
        <f>'7'!$C$11</f>
        <v>0</v>
      </c>
      <c r="I11" s="28">
        <f>'8'!$C$11</f>
        <v>0</v>
      </c>
      <c r="J11" s="28">
        <f>'9'!$C$11</f>
        <v>0</v>
      </c>
      <c r="K11" s="28">
        <f>'10'!$C$11</f>
        <v>0</v>
      </c>
      <c r="L11" s="28">
        <f>'11'!$C$11</f>
        <v>0</v>
      </c>
      <c r="M11" s="28">
        <f>'12'!$C$11</f>
        <v>0</v>
      </c>
      <c r="N11" s="28">
        <f>'13'!$C$11</f>
        <v>0</v>
      </c>
      <c r="O11" s="28">
        <f>'14'!$C$11</f>
        <v>0</v>
      </c>
      <c r="P11" s="28">
        <f>'15'!$C$11</f>
        <v>0</v>
      </c>
      <c r="Q11" s="28">
        <f>'16'!$C$11</f>
        <v>0</v>
      </c>
    </row>
    <row r="12" spans="1:17" ht="15" thickBot="1" x14ac:dyDescent="0.35">
      <c r="A12" s="63" t="s">
        <v>32</v>
      </c>
      <c r="B12" s="28">
        <f>'1'!$C$12</f>
        <v>0</v>
      </c>
      <c r="C12" s="28">
        <f>'2'!$C$12</f>
        <v>0</v>
      </c>
      <c r="D12" s="28">
        <f>'3'!$C$12</f>
        <v>0</v>
      </c>
      <c r="E12" s="28">
        <f>'4'!$C$12</f>
        <v>0</v>
      </c>
      <c r="F12" s="28">
        <f>'5'!$C$12</f>
        <v>38</v>
      </c>
      <c r="G12" s="28">
        <f>'6'!$C$12</f>
        <v>0</v>
      </c>
      <c r="H12" s="28">
        <f>'7'!$C$12</f>
        <v>0</v>
      </c>
      <c r="I12" s="28">
        <f>'8'!$C$12</f>
        <v>0</v>
      </c>
      <c r="J12" s="28">
        <f>'9'!$C$12</f>
        <v>0</v>
      </c>
      <c r="K12" s="28">
        <f>'10'!$C$12</f>
        <v>0</v>
      </c>
      <c r="L12" s="28">
        <f>'11'!$C$12</f>
        <v>0</v>
      </c>
      <c r="M12" s="28">
        <f>'12'!$C$12</f>
        <v>0</v>
      </c>
      <c r="N12" s="28">
        <f>'13'!$C$12</f>
        <v>0</v>
      </c>
      <c r="O12" s="28">
        <f>'14'!$C$12</f>
        <v>0</v>
      </c>
      <c r="P12" s="28">
        <f>'15'!$C$12</f>
        <v>0</v>
      </c>
      <c r="Q12" s="28">
        <f>'16'!$C$12</f>
        <v>0</v>
      </c>
    </row>
    <row r="13" spans="1:17" s="23" customFormat="1" ht="29.4" thickTop="1" x14ac:dyDescent="0.3">
      <c r="A13" s="149" t="s">
        <v>91</v>
      </c>
      <c r="B13" s="150">
        <f>'1'!$D$13+'1'!$D$15</f>
        <v>0</v>
      </c>
      <c r="C13" s="150">
        <f>'2'!$D$13+'2'!$D$15</f>
        <v>0</v>
      </c>
      <c r="D13" s="150">
        <f>'3'!$D$13+'3'!$D$15</f>
        <v>0</v>
      </c>
      <c r="E13" s="150">
        <f>'4'!$D$13+'4'!$D$15</f>
        <v>0</v>
      </c>
      <c r="F13" s="150">
        <f>'5'!$D$13+'5'!$D$15</f>
        <v>0</v>
      </c>
      <c r="G13" s="150">
        <f>'6'!$D$13+'6'!$D$15</f>
        <v>0</v>
      </c>
      <c r="H13" s="150">
        <f>'7'!$D$13+'7'!$D$15</f>
        <v>0</v>
      </c>
      <c r="I13" s="150">
        <f>'8'!$D$13+'8'!$D$15</f>
        <v>0</v>
      </c>
      <c r="J13" s="150">
        <f>'9'!$D$13+'9'!$D$15</f>
        <v>0</v>
      </c>
      <c r="K13" s="150">
        <f>'10'!$D$13+'10'!$D$15</f>
        <v>0</v>
      </c>
      <c r="L13" s="150">
        <f>'11'!$D$13+'11'!$D$15</f>
        <v>0</v>
      </c>
      <c r="M13" s="150">
        <f>'12'!$D$13+'12'!$D$15</f>
        <v>0</v>
      </c>
      <c r="N13" s="150">
        <f>'13'!$D$13+'13'!$D$15</f>
        <v>0</v>
      </c>
      <c r="O13" s="150">
        <f>'14'!$D$13+'14'!$D$15</f>
        <v>0</v>
      </c>
      <c r="P13" s="150">
        <f>'15'!$D$13+'15'!$D$15</f>
        <v>0</v>
      </c>
      <c r="Q13" s="150">
        <f>'16'!$D$13+'16'!$D$15</f>
        <v>0</v>
      </c>
    </row>
    <row r="14" spans="1:17" s="23" customFormat="1" ht="28.8" x14ac:dyDescent="0.3">
      <c r="A14" s="32" t="s">
        <v>92</v>
      </c>
      <c r="B14" s="33">
        <f>'1'!$D$14+'1'!$D$16</f>
        <v>0</v>
      </c>
      <c r="C14" s="33">
        <f>'2'!$D$14+'2'!$D$16</f>
        <v>0</v>
      </c>
      <c r="D14" s="33">
        <f>'3'!$D$14+'3'!$D$16</f>
        <v>0</v>
      </c>
      <c r="E14" s="33">
        <f>'4'!$D$14+'4'!$D$16</f>
        <v>0</v>
      </c>
      <c r="F14" s="33">
        <f>'5'!$D$14+'5'!$D$16</f>
        <v>226065</v>
      </c>
      <c r="G14" s="33">
        <f>'6'!$D$14+'6'!$D$16</f>
        <v>0</v>
      </c>
      <c r="H14" s="33">
        <f>'7'!$D$14+'7'!$D$16</f>
        <v>0</v>
      </c>
      <c r="I14" s="33">
        <f>'8'!$D$14+'8'!$D$16</f>
        <v>0</v>
      </c>
      <c r="J14" s="33">
        <f>'9'!$D$14+'9'!$D$16</f>
        <v>0</v>
      </c>
      <c r="K14" s="33">
        <f>'10'!$D$14+'10'!$D$16</f>
        <v>0</v>
      </c>
      <c r="L14" s="33">
        <f>'11'!$D$14+'11'!$D$16</f>
        <v>0</v>
      </c>
      <c r="M14" s="33">
        <f>'12'!$D$14+'12'!$D$16</f>
        <v>0</v>
      </c>
      <c r="N14" s="33">
        <f>'13'!$D$14+'13'!$D$16</f>
        <v>0</v>
      </c>
      <c r="O14" s="33">
        <f>'14'!$D$14+'14'!$D$16</f>
        <v>0</v>
      </c>
      <c r="P14" s="33">
        <f>'15'!$D$14+'15'!$D$16</f>
        <v>0</v>
      </c>
      <c r="Q14" s="33">
        <f>'16'!$D$14+'16'!$D$16</f>
        <v>0</v>
      </c>
    </row>
    <row r="15" spans="1:17" s="23" customFormat="1" x14ac:dyDescent="0.3">
      <c r="A15" s="34" t="s">
        <v>88</v>
      </c>
      <c r="B15" s="33">
        <f>'1'!$D$4</f>
        <v>0</v>
      </c>
      <c r="C15" s="33">
        <f>'2'!$D$4</f>
        <v>0</v>
      </c>
      <c r="D15" s="33">
        <f>'3'!$D$4</f>
        <v>0</v>
      </c>
      <c r="E15" s="33">
        <f>'4'!$D$4</f>
        <v>0</v>
      </c>
      <c r="F15" s="33">
        <f>'5'!$D$4</f>
        <v>0</v>
      </c>
      <c r="G15" s="33">
        <f>'6'!$D$4</f>
        <v>0</v>
      </c>
      <c r="H15" s="33">
        <f>'7'!$D$4</f>
        <v>0</v>
      </c>
      <c r="I15" s="33">
        <f>'8'!$D$4</f>
        <v>0</v>
      </c>
      <c r="J15" s="33">
        <f>'9'!$D$4</f>
        <v>0</v>
      </c>
      <c r="K15" s="33">
        <f>'10'!$D$4</f>
        <v>0</v>
      </c>
      <c r="L15" s="33">
        <f>'11'!$D$4</f>
        <v>0</v>
      </c>
      <c r="M15" s="33">
        <f>'12'!$D$4</f>
        <v>0</v>
      </c>
      <c r="N15" s="33">
        <f>'13'!$D$4</f>
        <v>0</v>
      </c>
      <c r="O15" s="33">
        <f>'14'!$D$4</f>
        <v>0</v>
      </c>
      <c r="P15" s="33">
        <f>'15'!$D$4</f>
        <v>0</v>
      </c>
      <c r="Q15" s="33">
        <f>'16'!$D$4</f>
        <v>0</v>
      </c>
    </row>
    <row r="16" spans="1:17" s="23" customFormat="1" x14ac:dyDescent="0.3">
      <c r="A16" s="34" t="s">
        <v>142</v>
      </c>
      <c r="B16" s="33">
        <f>'1'!$D$5</f>
        <v>0</v>
      </c>
      <c r="C16" s="33">
        <f>'2'!$D$5</f>
        <v>0</v>
      </c>
      <c r="D16" s="33">
        <f>'3'!$D$5</f>
        <v>0</v>
      </c>
      <c r="E16" s="33">
        <f>'4'!$D$5</f>
        <v>0</v>
      </c>
      <c r="F16" s="33">
        <f>'5'!$D$5</f>
        <v>0</v>
      </c>
      <c r="G16" s="33">
        <f>'6'!$D$5</f>
        <v>0</v>
      </c>
      <c r="H16" s="33">
        <f>'7'!$D$5</f>
        <v>0</v>
      </c>
      <c r="I16" s="33">
        <f>'8'!$D$5</f>
        <v>0</v>
      </c>
      <c r="J16" s="33">
        <f>'9'!$D$5</f>
        <v>0</v>
      </c>
      <c r="K16" s="33">
        <f>'10'!$D$5</f>
        <v>0</v>
      </c>
      <c r="L16" s="33">
        <f>'11'!$D$5</f>
        <v>0</v>
      </c>
      <c r="M16" s="33">
        <f>'12'!$D$5</f>
        <v>0</v>
      </c>
      <c r="N16" s="33">
        <f>'13'!$D$5</f>
        <v>0</v>
      </c>
      <c r="O16" s="33">
        <f>'14'!$D$5</f>
        <v>0</v>
      </c>
      <c r="P16" s="33">
        <f>'15'!$D$5</f>
        <v>0</v>
      </c>
      <c r="Q16" s="33">
        <f>'16'!$D$5</f>
        <v>0</v>
      </c>
    </row>
    <row r="17" spans="1:17" s="23" customFormat="1" x14ac:dyDescent="0.3">
      <c r="A17" s="34" t="s">
        <v>84</v>
      </c>
      <c r="B17" s="33">
        <f>'1'!$D$7</f>
        <v>0</v>
      </c>
      <c r="C17" s="33">
        <f>'2'!$D$7</f>
        <v>0</v>
      </c>
      <c r="D17" s="33">
        <f>'3'!$D$7</f>
        <v>0</v>
      </c>
      <c r="E17" s="33">
        <f>'4'!$D$7</f>
        <v>0</v>
      </c>
      <c r="F17" s="33">
        <f>'5'!$D$7</f>
        <v>0</v>
      </c>
      <c r="G17" s="33">
        <f>'6'!$D$7</f>
        <v>0</v>
      </c>
      <c r="H17" s="33">
        <f>'7'!$D$7</f>
        <v>0</v>
      </c>
      <c r="I17" s="33">
        <f>'8'!$D$7</f>
        <v>0</v>
      </c>
      <c r="J17" s="33">
        <f>'9'!$D$7</f>
        <v>0</v>
      </c>
      <c r="K17" s="33">
        <f>'10'!$D$7</f>
        <v>0</v>
      </c>
      <c r="L17" s="33">
        <f>'11'!$D$7</f>
        <v>0</v>
      </c>
      <c r="M17" s="33">
        <f>'12'!$D$7</f>
        <v>0</v>
      </c>
      <c r="N17" s="33">
        <f>'13'!$D$7</f>
        <v>0</v>
      </c>
      <c r="O17" s="33">
        <f>'14'!$D$7</f>
        <v>0</v>
      </c>
      <c r="P17" s="33">
        <f>'15'!$D$7</f>
        <v>0</v>
      </c>
      <c r="Q17" s="33">
        <f>'16'!$D$7</f>
        <v>0</v>
      </c>
    </row>
    <row r="18" spans="1:17" s="23" customFormat="1" x14ac:dyDescent="0.3">
      <c r="A18" s="34" t="s">
        <v>43</v>
      </c>
      <c r="B18" s="33">
        <f>'1'!$D$6</f>
        <v>0</v>
      </c>
      <c r="C18" s="33">
        <f>'2'!$D$6</f>
        <v>0</v>
      </c>
      <c r="D18" s="33">
        <f>'3'!$D$6</f>
        <v>0</v>
      </c>
      <c r="E18" s="33">
        <f>'4'!$D$6</f>
        <v>0</v>
      </c>
      <c r="F18" s="33">
        <f>'5'!$D$6</f>
        <v>0</v>
      </c>
      <c r="G18" s="33">
        <f>'6'!$D$6</f>
        <v>0</v>
      </c>
      <c r="H18" s="33">
        <f>'7'!$D$6</f>
        <v>0</v>
      </c>
      <c r="I18" s="33">
        <f>'8'!$D$6</f>
        <v>0</v>
      </c>
      <c r="J18" s="33">
        <f>'9'!$D$6</f>
        <v>0</v>
      </c>
      <c r="K18" s="33">
        <f>'10'!$D$6</f>
        <v>0</v>
      </c>
      <c r="L18" s="33">
        <f>'11'!$D$6</f>
        <v>0</v>
      </c>
      <c r="M18" s="33">
        <f>'12'!$D$6</f>
        <v>0</v>
      </c>
      <c r="N18" s="33">
        <f>'13'!$D$6</f>
        <v>0</v>
      </c>
      <c r="O18" s="33">
        <f>'14'!$D$6</f>
        <v>0</v>
      </c>
      <c r="P18" s="33">
        <f>'15'!$D$6</f>
        <v>0</v>
      </c>
      <c r="Q18" s="33">
        <f>'16'!$D$6</f>
        <v>0</v>
      </c>
    </row>
    <row r="19" spans="1:17" s="23" customFormat="1" ht="28.8" x14ac:dyDescent="0.3">
      <c r="A19" s="34" t="s">
        <v>50</v>
      </c>
      <c r="B19" s="33">
        <f>'1'!$D$8</f>
        <v>0</v>
      </c>
      <c r="C19" s="33">
        <f>'2'!$D$8</f>
        <v>0</v>
      </c>
      <c r="D19" s="33">
        <f>'3'!$D$8</f>
        <v>0</v>
      </c>
      <c r="E19" s="33">
        <f>'4'!$D$8</f>
        <v>0</v>
      </c>
      <c r="F19" s="33">
        <f>'5'!$D$8</f>
        <v>0</v>
      </c>
      <c r="G19" s="33">
        <f>'6'!$D$8</f>
        <v>0</v>
      </c>
      <c r="H19" s="33">
        <f>'7'!$D$8</f>
        <v>0</v>
      </c>
      <c r="I19" s="33">
        <f>'8'!$D$8</f>
        <v>0</v>
      </c>
      <c r="J19" s="33">
        <f>'9'!$D$8</f>
        <v>0</v>
      </c>
      <c r="K19" s="33">
        <f>'10'!$D$8</f>
        <v>0</v>
      </c>
      <c r="L19" s="33">
        <f>'11'!$D$8</f>
        <v>0</v>
      </c>
      <c r="M19" s="33">
        <f>'12'!$D$8</f>
        <v>0</v>
      </c>
      <c r="N19" s="33">
        <f>'13'!$D$8</f>
        <v>0</v>
      </c>
      <c r="O19" s="33">
        <f>'14'!$D$8</f>
        <v>0</v>
      </c>
      <c r="P19" s="33">
        <f>'15'!$D$8</f>
        <v>0</v>
      </c>
      <c r="Q19" s="33">
        <f>'16'!$D$8</f>
        <v>0</v>
      </c>
    </row>
    <row r="20" spans="1:17" s="23" customFormat="1" x14ac:dyDescent="0.3">
      <c r="A20" s="32" t="s">
        <v>21</v>
      </c>
      <c r="B20" s="33">
        <f>'1'!$D$9</f>
        <v>0</v>
      </c>
      <c r="C20" s="33">
        <f>'2'!$D$9</f>
        <v>0</v>
      </c>
      <c r="D20" s="33">
        <f>'3'!$D$9</f>
        <v>0</v>
      </c>
      <c r="E20" s="33">
        <f>'4'!$D$9</f>
        <v>0</v>
      </c>
      <c r="F20" s="33">
        <f>'5'!$D$9</f>
        <v>13000</v>
      </c>
      <c r="G20" s="33">
        <f>'6'!$D$9</f>
        <v>0</v>
      </c>
      <c r="H20" s="33">
        <f>'7'!$D$9</f>
        <v>0</v>
      </c>
      <c r="I20" s="33">
        <f>'8'!$D$9</f>
        <v>0</v>
      </c>
      <c r="J20" s="33">
        <f>'9'!$D$9</f>
        <v>0</v>
      </c>
      <c r="K20" s="33">
        <f>'10'!$D$9</f>
        <v>0</v>
      </c>
      <c r="L20" s="33">
        <f>'11'!$D$9</f>
        <v>0</v>
      </c>
      <c r="M20" s="33">
        <f>'12'!$D$9</f>
        <v>0</v>
      </c>
      <c r="N20" s="33">
        <f>'13'!$D$9</f>
        <v>0</v>
      </c>
      <c r="O20" s="33">
        <f>'14'!$D$9</f>
        <v>0</v>
      </c>
      <c r="P20" s="33">
        <f>'15'!$D$9</f>
        <v>0</v>
      </c>
      <c r="Q20" s="33">
        <f>'16'!$D$9</f>
        <v>0</v>
      </c>
    </row>
    <row r="21" spans="1:17" s="23" customFormat="1" x14ac:dyDescent="0.3">
      <c r="A21" s="32" t="s">
        <v>99</v>
      </c>
      <c r="B21" s="33">
        <f>'1'!$D$10</f>
        <v>0</v>
      </c>
      <c r="C21" s="33">
        <f>'2'!$D$10</f>
        <v>0</v>
      </c>
      <c r="D21" s="33">
        <f>'3'!$D$10</f>
        <v>0</v>
      </c>
      <c r="E21" s="33">
        <f>'4'!$D$10</f>
        <v>0</v>
      </c>
      <c r="F21" s="33">
        <f>'5'!$D$10</f>
        <v>0</v>
      </c>
      <c r="G21" s="33">
        <f>'6'!$D$10</f>
        <v>0</v>
      </c>
      <c r="H21" s="33">
        <f>'7'!$D$10</f>
        <v>0</v>
      </c>
      <c r="I21" s="33">
        <f>'8'!$D$10</f>
        <v>0</v>
      </c>
      <c r="J21" s="33">
        <f>'9'!$D$10</f>
        <v>0</v>
      </c>
      <c r="K21" s="33">
        <f>'10'!$D$10</f>
        <v>0</v>
      </c>
      <c r="L21" s="33">
        <f>'11'!$D$10</f>
        <v>0</v>
      </c>
      <c r="M21" s="33">
        <f>'12'!$D$10</f>
        <v>0</v>
      </c>
      <c r="N21" s="33">
        <f>'13'!$D$10</f>
        <v>0</v>
      </c>
      <c r="O21" s="33">
        <f>'14'!$D$10</f>
        <v>0</v>
      </c>
      <c r="P21" s="33">
        <f>'15'!$D$10</f>
        <v>0</v>
      </c>
      <c r="Q21" s="33">
        <f>'16'!$D$10</f>
        <v>0</v>
      </c>
    </row>
    <row r="22" spans="1:17" s="23" customFormat="1" x14ac:dyDescent="0.3">
      <c r="A22" s="32" t="s">
        <v>46</v>
      </c>
      <c r="B22" s="33">
        <f>'1'!$D$11</f>
        <v>0</v>
      </c>
      <c r="C22" s="33">
        <f>'2'!$D$11</f>
        <v>0</v>
      </c>
      <c r="D22" s="33">
        <f>'3'!$D$11</f>
        <v>0</v>
      </c>
      <c r="E22" s="33">
        <f>'4'!$D$11</f>
        <v>0</v>
      </c>
      <c r="F22" s="33">
        <f>'5'!$D$11</f>
        <v>29200</v>
      </c>
      <c r="G22" s="33">
        <f>'6'!$D$11</f>
        <v>0</v>
      </c>
      <c r="H22" s="33">
        <f>'7'!$D$11</f>
        <v>0</v>
      </c>
      <c r="I22" s="33">
        <f>'8'!$D$11</f>
        <v>0</v>
      </c>
      <c r="J22" s="33">
        <f>'9'!$D$11</f>
        <v>0</v>
      </c>
      <c r="K22" s="33">
        <f>'10'!$D$11</f>
        <v>0</v>
      </c>
      <c r="L22" s="33">
        <f>'11'!$D$11</f>
        <v>0</v>
      </c>
      <c r="M22" s="33">
        <f>'12'!$D$11</f>
        <v>0</v>
      </c>
      <c r="N22" s="33">
        <f>'13'!$D$11</f>
        <v>0</v>
      </c>
      <c r="O22" s="33">
        <f>'14'!$D$11</f>
        <v>0</v>
      </c>
      <c r="P22" s="33">
        <f>'15'!$D$11</f>
        <v>0</v>
      </c>
      <c r="Q22" s="33">
        <f>'16'!$D$11</f>
        <v>0</v>
      </c>
    </row>
    <row r="23" spans="1:17" s="23" customFormat="1" ht="15" thickBot="1" x14ac:dyDescent="0.35">
      <c r="A23" s="151" t="s">
        <v>24</v>
      </c>
      <c r="B23" s="152">
        <f t="shared" ref="B23" si="1">SUM(B13:B22)</f>
        <v>0</v>
      </c>
      <c r="C23" s="152">
        <f t="shared" ref="C23:Q23" si="2">SUM(C13:C22)</f>
        <v>0</v>
      </c>
      <c r="D23" s="152">
        <f t="shared" si="2"/>
        <v>0</v>
      </c>
      <c r="E23" s="152">
        <f t="shared" si="2"/>
        <v>0</v>
      </c>
      <c r="F23" s="152">
        <f t="shared" si="2"/>
        <v>268265</v>
      </c>
      <c r="G23" s="152">
        <f t="shared" si="2"/>
        <v>0</v>
      </c>
      <c r="H23" s="152">
        <f t="shared" si="2"/>
        <v>0</v>
      </c>
      <c r="I23" s="152">
        <f t="shared" si="2"/>
        <v>0</v>
      </c>
      <c r="J23" s="152">
        <f t="shared" si="2"/>
        <v>0</v>
      </c>
      <c r="K23" s="152">
        <f t="shared" si="2"/>
        <v>0</v>
      </c>
      <c r="L23" s="152">
        <f t="shared" si="2"/>
        <v>0</v>
      </c>
      <c r="M23" s="152">
        <f t="shared" si="2"/>
        <v>0</v>
      </c>
      <c r="N23" s="152">
        <f t="shared" si="2"/>
        <v>0</v>
      </c>
      <c r="O23" s="152">
        <f t="shared" si="2"/>
        <v>0</v>
      </c>
      <c r="P23" s="152">
        <f t="shared" si="2"/>
        <v>0</v>
      </c>
      <c r="Q23" s="152">
        <f t="shared" si="2"/>
        <v>0</v>
      </c>
    </row>
    <row r="24" spans="1:17" s="23" customFormat="1" ht="29.4" thickTop="1" x14ac:dyDescent="0.3">
      <c r="A24" s="146" t="s">
        <v>2</v>
      </c>
      <c r="B24" s="147">
        <f>'1'!$D$19</f>
        <v>0</v>
      </c>
      <c r="C24" s="147">
        <f>'2'!$D$19</f>
        <v>0</v>
      </c>
      <c r="D24" s="147">
        <f>'3'!$D$19</f>
        <v>0</v>
      </c>
      <c r="E24" s="147">
        <f>'4'!$D$19</f>
        <v>0</v>
      </c>
      <c r="F24" s="147">
        <f>'5'!$D$19</f>
        <v>39930</v>
      </c>
      <c r="G24" s="147">
        <f>'6'!$D$19</f>
        <v>0</v>
      </c>
      <c r="H24" s="147">
        <f>'7'!$D$19</f>
        <v>0</v>
      </c>
      <c r="I24" s="147">
        <f>'8'!$D$19</f>
        <v>0</v>
      </c>
      <c r="J24" s="147">
        <f>'9'!$D$19</f>
        <v>0</v>
      </c>
      <c r="K24" s="147">
        <f>'10'!$D$19</f>
        <v>0</v>
      </c>
      <c r="L24" s="147">
        <f>'11'!$D$19</f>
        <v>0</v>
      </c>
      <c r="M24" s="147">
        <f>'12'!$D$19</f>
        <v>0</v>
      </c>
      <c r="N24" s="147">
        <f>'13'!$D$19</f>
        <v>0</v>
      </c>
      <c r="O24" s="147">
        <f>'14'!$D$19</f>
        <v>0</v>
      </c>
      <c r="P24" s="147">
        <f>'15'!$D$19</f>
        <v>0</v>
      </c>
      <c r="Q24" s="147">
        <f>'16'!$D$19</f>
        <v>0</v>
      </c>
    </row>
    <row r="25" spans="1:17" s="23" customFormat="1" ht="43.2" x14ac:dyDescent="0.3">
      <c r="A25" s="21" t="s">
        <v>90</v>
      </c>
      <c r="B25" s="30">
        <f>'1'!$D$34</f>
        <v>0</v>
      </c>
      <c r="C25" s="64">
        <f>'2'!$D$34</f>
        <v>0</v>
      </c>
      <c r="D25" s="64">
        <f>'3'!$D$34</f>
        <v>0</v>
      </c>
      <c r="E25" s="64">
        <f>'4'!$D$34</f>
        <v>0</v>
      </c>
      <c r="F25" s="64">
        <f>'5'!$D$34</f>
        <v>-39930</v>
      </c>
      <c r="G25" s="64">
        <f>'6'!$D$34</f>
        <v>0</v>
      </c>
      <c r="H25" s="64">
        <f>'7'!$D$34</f>
        <v>0</v>
      </c>
      <c r="I25" s="64">
        <f>'8'!$D$34</f>
        <v>0</v>
      </c>
      <c r="J25" s="64">
        <f>'9'!$D$34</f>
        <v>0</v>
      </c>
      <c r="K25" s="64">
        <f>'10'!$D$34</f>
        <v>0</v>
      </c>
      <c r="L25" s="64">
        <f>'11'!$D$34</f>
        <v>0</v>
      </c>
      <c r="M25" s="64">
        <f>'12'!$D$34</f>
        <v>0</v>
      </c>
      <c r="N25" s="64">
        <f>'13'!$D$34</f>
        <v>0</v>
      </c>
      <c r="O25" s="64">
        <f>'14'!$D$34</f>
        <v>0</v>
      </c>
      <c r="P25" s="64">
        <f>'15'!$D$34</f>
        <v>0</v>
      </c>
      <c r="Q25" s="64">
        <f>'16'!$D$34</f>
        <v>0</v>
      </c>
    </row>
    <row r="26" spans="1:17" s="23" customFormat="1" ht="29.4" thickBot="1" x14ac:dyDescent="0.35">
      <c r="A26" s="24" t="s">
        <v>5</v>
      </c>
      <c r="B26" s="31">
        <f>'1'!$E$41</f>
        <v>0</v>
      </c>
      <c r="C26" s="65">
        <f>'2'!$E$41</f>
        <v>0</v>
      </c>
      <c r="D26" s="65">
        <f>'3'!$E$41</f>
        <v>0</v>
      </c>
      <c r="E26" s="65">
        <f>'4'!$E$41</f>
        <v>0</v>
      </c>
      <c r="F26" s="65">
        <f>'5'!$E$41</f>
        <v>0</v>
      </c>
      <c r="G26" s="65">
        <f>'6'!$E$41</f>
        <v>0</v>
      </c>
      <c r="H26" s="65">
        <f>'7'!$E$41</f>
        <v>0</v>
      </c>
      <c r="I26" s="65">
        <f>'8'!$E$41</f>
        <v>0</v>
      </c>
      <c r="J26" s="65">
        <f>'9'!$E$41</f>
        <v>0</v>
      </c>
      <c r="K26" s="65">
        <f>'10'!$E$41</f>
        <v>0</v>
      </c>
      <c r="L26" s="65">
        <f>'11'!$E$41</f>
        <v>0</v>
      </c>
      <c r="M26" s="65">
        <f>'12'!$E$41</f>
        <v>0</v>
      </c>
      <c r="N26" s="65">
        <f>'13'!$E$41</f>
        <v>0</v>
      </c>
      <c r="O26" s="65">
        <f>'14'!$E$41</f>
        <v>0</v>
      </c>
      <c r="P26" s="65">
        <f>'15'!$E$41</f>
        <v>0</v>
      </c>
      <c r="Q26" s="65">
        <f>'16'!$E$41</f>
        <v>0</v>
      </c>
    </row>
    <row r="27" spans="1:17" s="23" customFormat="1" ht="15" thickTop="1" x14ac:dyDescent="0.3">
      <c r="A27" s="159" t="s">
        <v>95</v>
      </c>
      <c r="B27" s="37">
        <f>'1'!$B71</f>
        <v>0</v>
      </c>
      <c r="C27" s="37">
        <f>'2'!$B71</f>
        <v>0</v>
      </c>
      <c r="D27" s="37">
        <f>'3'!$B71</f>
        <v>0</v>
      </c>
      <c r="E27" s="37">
        <f>'4'!$B71</f>
        <v>0</v>
      </c>
      <c r="F27" s="37">
        <f>'5'!$B71</f>
        <v>180000</v>
      </c>
      <c r="G27" s="37">
        <f>'6'!$B71</f>
        <v>0</v>
      </c>
      <c r="H27" s="37">
        <f>'7'!$B71</f>
        <v>0</v>
      </c>
      <c r="I27" s="37">
        <f>'8'!$B71</f>
        <v>0</v>
      </c>
      <c r="J27" s="37">
        <f>'9'!$B71</f>
        <v>0</v>
      </c>
      <c r="K27" s="37">
        <f>'10'!$B71</f>
        <v>0</v>
      </c>
      <c r="L27" s="37">
        <f>'11'!$B71</f>
        <v>0</v>
      </c>
      <c r="M27" s="37">
        <f>'12'!$B71</f>
        <v>0</v>
      </c>
      <c r="N27" s="37">
        <f>'13'!$B71</f>
        <v>0</v>
      </c>
      <c r="O27" s="37">
        <f>'14'!$B71</f>
        <v>0</v>
      </c>
      <c r="P27" s="37">
        <f>'15'!$B71</f>
        <v>0</v>
      </c>
      <c r="Q27" s="37">
        <f>'16'!$B71</f>
        <v>0</v>
      </c>
    </row>
    <row r="28" spans="1:17" s="23" customFormat="1" ht="28.8" x14ac:dyDescent="0.3">
      <c r="A28" s="87" t="s">
        <v>96</v>
      </c>
      <c r="B28" s="146">
        <f>'1'!$B72</f>
        <v>0</v>
      </c>
      <c r="C28" s="146">
        <f>'2'!$B72</f>
        <v>0</v>
      </c>
      <c r="D28" s="146">
        <f>'3'!$B72</f>
        <v>0</v>
      </c>
      <c r="E28" s="146">
        <f>'4'!$B72</f>
        <v>0</v>
      </c>
      <c r="F28" s="146">
        <f>'5'!$B72</f>
        <v>0</v>
      </c>
      <c r="G28" s="146">
        <f>'6'!$B72</f>
        <v>0</v>
      </c>
      <c r="H28" s="146">
        <f>'7'!$B72</f>
        <v>0</v>
      </c>
      <c r="I28" s="146">
        <f>'8'!$B72</f>
        <v>0</v>
      </c>
      <c r="J28" s="146">
        <f>'9'!$B72</f>
        <v>0</v>
      </c>
      <c r="K28" s="146">
        <f>'10'!$B72</f>
        <v>0</v>
      </c>
      <c r="L28" s="146">
        <f>'11'!$B72</f>
        <v>0</v>
      </c>
      <c r="M28" s="146">
        <f>'12'!$B72</f>
        <v>0</v>
      </c>
      <c r="N28" s="146">
        <f>'13'!$B72</f>
        <v>0</v>
      </c>
      <c r="O28" s="146">
        <f>'14'!$B72</f>
        <v>0</v>
      </c>
      <c r="P28" s="146">
        <f>'15'!$B72</f>
        <v>0</v>
      </c>
      <c r="Q28" s="146">
        <f>'16'!$B72</f>
        <v>0</v>
      </c>
    </row>
    <row r="29" spans="1:17" s="23" customFormat="1" ht="15" thickBot="1" x14ac:dyDescent="0.35">
      <c r="A29" s="160" t="s">
        <v>97</v>
      </c>
      <c r="B29" s="162">
        <f>'1'!$B73</f>
        <v>0</v>
      </c>
      <c r="C29" s="162">
        <f>'2'!$B73</f>
        <v>0</v>
      </c>
      <c r="D29" s="162">
        <f>'3'!$B73</f>
        <v>0</v>
      </c>
      <c r="E29" s="162">
        <f>'4'!$B73</f>
        <v>0</v>
      </c>
      <c r="F29" s="162">
        <f>'5'!$B73</f>
        <v>0</v>
      </c>
      <c r="G29" s="162">
        <f>'6'!$B73</f>
        <v>0</v>
      </c>
      <c r="H29" s="162">
        <f>'7'!$B73</f>
        <v>0</v>
      </c>
      <c r="I29" s="162">
        <f>'8'!$B73</f>
        <v>0</v>
      </c>
      <c r="J29" s="162">
        <f>'9'!$B73</f>
        <v>0</v>
      </c>
      <c r="K29" s="162">
        <f>'10'!$B73</f>
        <v>0</v>
      </c>
      <c r="L29" s="162">
        <f>'11'!$B73</f>
        <v>0</v>
      </c>
      <c r="M29" s="162">
        <f>'12'!$B73</f>
        <v>0</v>
      </c>
      <c r="N29" s="162">
        <f>'13'!$B73</f>
        <v>0</v>
      </c>
      <c r="O29" s="162">
        <f>'14'!$B73</f>
        <v>0</v>
      </c>
      <c r="P29" s="162">
        <f>'15'!$B73</f>
        <v>0</v>
      </c>
      <c r="Q29" s="162">
        <f>'16'!$B73</f>
        <v>0</v>
      </c>
    </row>
    <row r="30" spans="1:17" s="23" customFormat="1" ht="15" thickTop="1" x14ac:dyDescent="0.3">
      <c r="A30" s="146" t="s">
        <v>85</v>
      </c>
      <c r="B30" s="146">
        <f>'1'!$B74</f>
        <v>0</v>
      </c>
      <c r="C30" s="146">
        <f>'2'!$B74</f>
        <v>0</v>
      </c>
      <c r="D30" s="146">
        <f>'3'!$B74</f>
        <v>0</v>
      </c>
      <c r="E30" s="146">
        <f>'4'!$B74</f>
        <v>0</v>
      </c>
      <c r="F30" s="146">
        <f>'5'!$B74</f>
        <v>47520</v>
      </c>
      <c r="G30" s="146">
        <f>'6'!$B74</f>
        <v>0</v>
      </c>
      <c r="H30" s="146">
        <f>'7'!$B74</f>
        <v>0</v>
      </c>
      <c r="I30" s="146">
        <f>'8'!$B74</f>
        <v>0</v>
      </c>
      <c r="J30" s="146">
        <f>'9'!$B74</f>
        <v>0</v>
      </c>
      <c r="K30" s="146">
        <f>'10'!$B74</f>
        <v>0</v>
      </c>
      <c r="L30" s="146">
        <f>'11'!$B74</f>
        <v>0</v>
      </c>
      <c r="M30" s="146">
        <f>'12'!$B74</f>
        <v>0</v>
      </c>
      <c r="N30" s="146">
        <f>'13'!$B74</f>
        <v>0</v>
      </c>
      <c r="O30" s="146">
        <f>'14'!$B74</f>
        <v>0</v>
      </c>
      <c r="P30" s="146">
        <f>'15'!$B74</f>
        <v>0</v>
      </c>
      <c r="Q30" s="146">
        <f>'16'!$B74</f>
        <v>0</v>
      </c>
    </row>
    <row r="31" spans="1:17" s="23" customFormat="1" x14ac:dyDescent="0.3">
      <c r="A31" s="21" t="s">
        <v>35</v>
      </c>
      <c r="B31" s="21">
        <f>'1'!$B75</f>
        <v>0</v>
      </c>
      <c r="C31" s="21">
        <f>'2'!$B75</f>
        <v>0</v>
      </c>
      <c r="D31" s="21">
        <f>'3'!$B75</f>
        <v>0</v>
      </c>
      <c r="E31" s="21">
        <f>'4'!$B75</f>
        <v>0</v>
      </c>
      <c r="F31" s="21">
        <f>'5'!$B75</f>
        <v>4646.1847039999993</v>
      </c>
      <c r="G31" s="21">
        <f>'6'!$B75</f>
        <v>0</v>
      </c>
      <c r="H31" s="21">
        <f>'7'!$B75</f>
        <v>0</v>
      </c>
      <c r="I31" s="21">
        <f>'8'!$B75</f>
        <v>0</v>
      </c>
      <c r="J31" s="21">
        <f>'9'!$B75</f>
        <v>0</v>
      </c>
      <c r="K31" s="21">
        <f>'10'!$B75</f>
        <v>0</v>
      </c>
      <c r="L31" s="21">
        <f>'11'!$B75</f>
        <v>0</v>
      </c>
      <c r="M31" s="21">
        <f>'12'!$B75</f>
        <v>0</v>
      </c>
      <c r="N31" s="21">
        <f>'13'!$B75</f>
        <v>0</v>
      </c>
      <c r="O31" s="21">
        <f>'14'!$B75</f>
        <v>0</v>
      </c>
      <c r="P31" s="21">
        <f>'15'!$B75</f>
        <v>0</v>
      </c>
      <c r="Q31" s="21">
        <f>'16'!$B75</f>
        <v>0</v>
      </c>
    </row>
    <row r="32" spans="1:17" s="23" customFormat="1" ht="28.8" x14ac:dyDescent="0.3">
      <c r="A32" s="21" t="s">
        <v>28</v>
      </c>
      <c r="B32" s="21">
        <f>'1'!$B76</f>
        <v>0</v>
      </c>
      <c r="C32" s="21">
        <f>'2'!$B76</f>
        <v>0</v>
      </c>
      <c r="D32" s="21">
        <f>'3'!$B76</f>
        <v>0</v>
      </c>
      <c r="E32" s="21">
        <f>'4'!$B76</f>
        <v>0</v>
      </c>
      <c r="F32" s="21">
        <f>'5'!$B76</f>
        <v>0</v>
      </c>
      <c r="G32" s="21">
        <f>'6'!$B76</f>
        <v>0</v>
      </c>
      <c r="H32" s="21">
        <f>'7'!$B76</f>
        <v>0</v>
      </c>
      <c r="I32" s="21">
        <f>'8'!$B76</f>
        <v>0</v>
      </c>
      <c r="J32" s="21">
        <f>'9'!$B76</f>
        <v>0</v>
      </c>
      <c r="K32" s="21">
        <f>'10'!$B76</f>
        <v>0</v>
      </c>
      <c r="L32" s="21">
        <f>'11'!$B76</f>
        <v>0</v>
      </c>
      <c r="M32" s="21">
        <f>'12'!$B76</f>
        <v>0</v>
      </c>
      <c r="N32" s="21">
        <f>'13'!$B76</f>
        <v>0</v>
      </c>
      <c r="O32" s="21">
        <f>'14'!$B76</f>
        <v>0</v>
      </c>
      <c r="P32" s="21">
        <f>'15'!$B76</f>
        <v>0</v>
      </c>
      <c r="Q32" s="21">
        <f>'16'!$B76</f>
        <v>0</v>
      </c>
    </row>
    <row r="33" spans="1:17" s="23" customFormat="1" ht="28.8" x14ac:dyDescent="0.3">
      <c r="A33" s="21" t="s">
        <v>29</v>
      </c>
      <c r="B33" s="21">
        <f>'1'!$B77</f>
        <v>0</v>
      </c>
      <c r="C33" s="21">
        <f>'2'!$B77</f>
        <v>0</v>
      </c>
      <c r="D33" s="21">
        <f>'3'!$B77</f>
        <v>0</v>
      </c>
      <c r="E33" s="21">
        <f>'4'!$B77</f>
        <v>0</v>
      </c>
      <c r="F33" s="21">
        <f>'5'!$B77</f>
        <v>29631.279999999999</v>
      </c>
      <c r="G33" s="21">
        <f>'6'!$B77</f>
        <v>0</v>
      </c>
      <c r="H33" s="21">
        <f>'7'!$B77</f>
        <v>0</v>
      </c>
      <c r="I33" s="21">
        <f>'8'!$B77</f>
        <v>0</v>
      </c>
      <c r="J33" s="21">
        <f>'9'!$B77</f>
        <v>0</v>
      </c>
      <c r="K33" s="21">
        <f>'10'!$B77</f>
        <v>0</v>
      </c>
      <c r="L33" s="21">
        <f>'11'!$B77</f>
        <v>0</v>
      </c>
      <c r="M33" s="21">
        <f>'12'!$B77</f>
        <v>0</v>
      </c>
      <c r="N33" s="21">
        <f>'13'!$B77</f>
        <v>0</v>
      </c>
      <c r="O33" s="21">
        <f>'14'!$B77</f>
        <v>0</v>
      </c>
      <c r="P33" s="21">
        <f>'15'!$B77</f>
        <v>0</v>
      </c>
      <c r="Q33" s="21">
        <f>'16'!$B77</f>
        <v>0</v>
      </c>
    </row>
    <row r="34" spans="1:17" s="23" customFormat="1" ht="28.8" x14ac:dyDescent="0.3">
      <c r="A34" s="21" t="s">
        <v>2</v>
      </c>
      <c r="B34" s="21">
        <f>'1'!$B78</f>
        <v>0</v>
      </c>
      <c r="C34" s="21">
        <f>'2'!$B78</f>
        <v>0</v>
      </c>
      <c r="D34" s="21">
        <f>'3'!$B78</f>
        <v>0</v>
      </c>
      <c r="E34" s="21">
        <f>'4'!$B78</f>
        <v>0</v>
      </c>
      <c r="F34" s="21">
        <f>'5'!$B78</f>
        <v>25530</v>
      </c>
      <c r="G34" s="21">
        <f>'6'!$B78</f>
        <v>0</v>
      </c>
      <c r="H34" s="21">
        <f>'7'!$B78</f>
        <v>0</v>
      </c>
      <c r="I34" s="21">
        <f>'8'!$B78</f>
        <v>0</v>
      </c>
      <c r="J34" s="21">
        <f>'9'!$B78</f>
        <v>0</v>
      </c>
      <c r="K34" s="21">
        <f>'10'!$B78</f>
        <v>0</v>
      </c>
      <c r="L34" s="21">
        <f>'11'!$B78</f>
        <v>0</v>
      </c>
      <c r="M34" s="21">
        <f>'12'!$B78</f>
        <v>0</v>
      </c>
      <c r="N34" s="21">
        <f>'13'!$B78</f>
        <v>0</v>
      </c>
      <c r="O34" s="21">
        <f>'14'!$B78</f>
        <v>0</v>
      </c>
      <c r="P34" s="21">
        <f>'15'!$B78</f>
        <v>0</v>
      </c>
      <c r="Q34" s="21">
        <f>'16'!$B78</f>
        <v>0</v>
      </c>
    </row>
    <row r="35" spans="1:17" s="23" customFormat="1" ht="15" thickBot="1" x14ac:dyDescent="0.35">
      <c r="A35" s="24" t="s">
        <v>94</v>
      </c>
      <c r="B35" s="24">
        <f>'1'!$B79</f>
        <v>0</v>
      </c>
      <c r="C35" s="24">
        <f>'2'!$B79</f>
        <v>0</v>
      </c>
      <c r="D35" s="24">
        <f>'3'!$B79</f>
        <v>0</v>
      </c>
      <c r="E35" s="24">
        <f>'4'!$B79</f>
        <v>0</v>
      </c>
      <c r="F35" s="24">
        <f>'5'!$B79</f>
        <v>9900</v>
      </c>
      <c r="G35" s="24">
        <f>'6'!$B79</f>
        <v>0</v>
      </c>
      <c r="H35" s="24">
        <f>'7'!$B79</f>
        <v>0</v>
      </c>
      <c r="I35" s="24">
        <f>'8'!$B79</f>
        <v>0</v>
      </c>
      <c r="J35" s="24">
        <f>'9'!$B79</f>
        <v>0</v>
      </c>
      <c r="K35" s="24">
        <f>'10'!$B79</f>
        <v>0</v>
      </c>
      <c r="L35" s="24">
        <f>'11'!$B79</f>
        <v>0</v>
      </c>
      <c r="M35" s="24">
        <f>'12'!$B79</f>
        <v>0</v>
      </c>
      <c r="N35" s="24">
        <f>'13'!$B79</f>
        <v>0</v>
      </c>
      <c r="O35" s="24">
        <f>'14'!$B79</f>
        <v>0</v>
      </c>
      <c r="P35" s="24">
        <f>'15'!$B79</f>
        <v>0</v>
      </c>
      <c r="Q35" s="24">
        <f>'16'!$B79</f>
        <v>0</v>
      </c>
    </row>
    <row r="36" spans="1:17" ht="15.6" thickTop="1" thickBot="1" x14ac:dyDescent="0.35">
      <c r="A36" s="4" t="s">
        <v>30</v>
      </c>
      <c r="B36" s="35">
        <f>SUM(B27:B35)</f>
        <v>0</v>
      </c>
      <c r="C36" s="67">
        <f t="shared" ref="C36:Q36" si="3">SUM(C27:C35)</f>
        <v>0</v>
      </c>
      <c r="D36" s="67">
        <f t="shared" si="3"/>
        <v>0</v>
      </c>
      <c r="E36" s="67">
        <f t="shared" si="3"/>
        <v>0</v>
      </c>
      <c r="F36" s="67">
        <f t="shared" si="3"/>
        <v>297227.46470400004</v>
      </c>
      <c r="G36" s="67">
        <f t="shared" si="3"/>
        <v>0</v>
      </c>
      <c r="H36" s="67">
        <f t="shared" si="3"/>
        <v>0</v>
      </c>
      <c r="I36" s="67">
        <f t="shared" si="3"/>
        <v>0</v>
      </c>
      <c r="J36" s="67">
        <f t="shared" si="3"/>
        <v>0</v>
      </c>
      <c r="K36" s="67">
        <f t="shared" si="3"/>
        <v>0</v>
      </c>
      <c r="L36" s="67">
        <f t="shared" si="3"/>
        <v>0</v>
      </c>
      <c r="M36" s="67">
        <f t="shared" si="3"/>
        <v>0</v>
      </c>
      <c r="N36" s="67">
        <f t="shared" si="3"/>
        <v>0</v>
      </c>
      <c r="O36" s="67">
        <f t="shared" si="3"/>
        <v>0</v>
      </c>
      <c r="P36" s="67">
        <f t="shared" si="3"/>
        <v>0</v>
      </c>
      <c r="Q36" s="67">
        <f t="shared" si="3"/>
        <v>0</v>
      </c>
    </row>
    <row r="37" spans="1:17" ht="15.6" thickTop="1" thickBot="1" x14ac:dyDescent="0.35">
      <c r="A37" s="40" t="s">
        <v>31</v>
      </c>
      <c r="B37" s="133">
        <f>B23-B36</f>
        <v>0</v>
      </c>
      <c r="C37" s="133">
        <f t="shared" ref="C37:Q37" si="4">C23-C36</f>
        <v>0</v>
      </c>
      <c r="D37" s="133">
        <f t="shared" si="4"/>
        <v>0</v>
      </c>
      <c r="E37" s="133">
        <f t="shared" si="4"/>
        <v>0</v>
      </c>
      <c r="F37" s="133">
        <f t="shared" si="4"/>
        <v>-28962.464704000042</v>
      </c>
      <c r="G37" s="133">
        <f t="shared" si="4"/>
        <v>0</v>
      </c>
      <c r="H37" s="133">
        <f t="shared" si="4"/>
        <v>0</v>
      </c>
      <c r="I37" s="133">
        <f t="shared" si="4"/>
        <v>0</v>
      </c>
      <c r="J37" s="133">
        <f t="shared" si="4"/>
        <v>0</v>
      </c>
      <c r="K37" s="133">
        <f t="shared" si="4"/>
        <v>0</v>
      </c>
      <c r="L37" s="133">
        <f t="shared" si="4"/>
        <v>0</v>
      </c>
      <c r="M37" s="133">
        <f t="shared" si="4"/>
        <v>0</v>
      </c>
      <c r="N37" s="133">
        <f t="shared" si="4"/>
        <v>0</v>
      </c>
      <c r="O37" s="133">
        <f t="shared" si="4"/>
        <v>0</v>
      </c>
      <c r="P37" s="133">
        <f t="shared" si="4"/>
        <v>0</v>
      </c>
      <c r="Q37" s="133">
        <f t="shared" si="4"/>
        <v>0</v>
      </c>
    </row>
    <row r="38" spans="1:17" ht="15.6" thickTop="1" thickBot="1" x14ac:dyDescent="0.35">
      <c r="A38" s="126"/>
      <c r="B38" s="129"/>
      <c r="C38" s="129"/>
      <c r="D38" s="129"/>
      <c r="E38" s="129"/>
      <c r="F38" s="135"/>
    </row>
    <row r="39" spans="1:17" ht="15.6" thickTop="1" thickBot="1" x14ac:dyDescent="0.35">
      <c r="A39" s="8" t="s">
        <v>7</v>
      </c>
      <c r="B39" s="9">
        <f>Q2+1</f>
        <v>46190</v>
      </c>
      <c r="C39" s="10">
        <f t="shared" ref="C39:P39" si="5">B39+1</f>
        <v>46191</v>
      </c>
      <c r="D39" s="9">
        <f t="shared" si="5"/>
        <v>46192</v>
      </c>
      <c r="E39" s="10">
        <f t="shared" si="5"/>
        <v>46193</v>
      </c>
      <c r="F39" s="9">
        <f t="shared" si="5"/>
        <v>46194</v>
      </c>
      <c r="G39" s="10">
        <f t="shared" si="5"/>
        <v>46195</v>
      </c>
      <c r="H39" s="9">
        <f t="shared" si="5"/>
        <v>46196</v>
      </c>
      <c r="I39" s="10">
        <f t="shared" si="5"/>
        <v>46197</v>
      </c>
      <c r="J39" s="9">
        <f t="shared" si="5"/>
        <v>46198</v>
      </c>
      <c r="K39" s="10">
        <f t="shared" si="5"/>
        <v>46199</v>
      </c>
      <c r="L39" s="9">
        <f t="shared" si="5"/>
        <v>46200</v>
      </c>
      <c r="M39" s="10">
        <f t="shared" si="5"/>
        <v>46201</v>
      </c>
      <c r="N39" s="9">
        <f t="shared" si="5"/>
        <v>46202</v>
      </c>
      <c r="O39" s="10">
        <f t="shared" si="5"/>
        <v>46203</v>
      </c>
      <c r="P39" s="9">
        <f t="shared" si="5"/>
        <v>46204</v>
      </c>
      <c r="Q39" s="12" t="s">
        <v>20</v>
      </c>
    </row>
    <row r="40" spans="1:17" ht="15" thickTop="1" x14ac:dyDescent="0.3">
      <c r="A40" s="17" t="s">
        <v>16</v>
      </c>
      <c r="B40" s="27">
        <f>'17'!$C$3</f>
        <v>0</v>
      </c>
      <c r="C40" s="27">
        <f>'18'!$C$3</f>
        <v>0</v>
      </c>
      <c r="D40" s="27">
        <f>'19'!$C$3</f>
        <v>0</v>
      </c>
      <c r="E40" s="27">
        <f>'20'!$C$3</f>
        <v>0</v>
      </c>
      <c r="F40" s="27">
        <f>'21'!$C$3</f>
        <v>0</v>
      </c>
      <c r="G40" s="27">
        <f>'22'!$C$3</f>
        <v>0</v>
      </c>
      <c r="H40" s="27">
        <f>'23'!$C$3</f>
        <v>0</v>
      </c>
      <c r="I40" s="27">
        <f>'24'!$C$3</f>
        <v>0</v>
      </c>
      <c r="J40" s="27">
        <f>'25'!$C$3</f>
        <v>0</v>
      </c>
      <c r="K40" s="27">
        <f>'26'!$C$3</f>
        <v>0</v>
      </c>
      <c r="L40" s="27">
        <f>'27'!$C$3</f>
        <v>0</v>
      </c>
      <c r="M40" s="27">
        <f>'28'!$C$3</f>
        <v>0</v>
      </c>
      <c r="N40" s="27">
        <f>'29'!$C$3</f>
        <v>0</v>
      </c>
      <c r="O40" s="27">
        <f>'30'!$C$3</f>
        <v>0</v>
      </c>
      <c r="P40" s="27">
        <f>'31'!$C$3</f>
        <v>0</v>
      </c>
      <c r="Q40" s="18">
        <f t="shared" ref="Q40:Q52" si="6">SUM(B3:Q3)+SUM(B40:P40)</f>
        <v>45</v>
      </c>
    </row>
    <row r="41" spans="1:17" x14ac:dyDescent="0.3">
      <c r="A41" s="63" t="s">
        <v>87</v>
      </c>
      <c r="B41" s="28">
        <f>'17'!$C$4</f>
        <v>0</v>
      </c>
      <c r="C41" s="28">
        <f>'18'!$C$4</f>
        <v>0</v>
      </c>
      <c r="D41" s="28">
        <f>'19'!$C$4</f>
        <v>0</v>
      </c>
      <c r="E41" s="28">
        <f>'20'!$C$4</f>
        <v>0</v>
      </c>
      <c r="F41" s="28">
        <f>'21'!$C$4</f>
        <v>0</v>
      </c>
      <c r="G41" s="28">
        <f>'22'!$C$4</f>
        <v>0</v>
      </c>
      <c r="H41" s="28">
        <f>'23'!$C$4</f>
        <v>0</v>
      </c>
      <c r="I41" s="28">
        <f>'24'!$C$4</f>
        <v>0</v>
      </c>
      <c r="J41" s="28">
        <f>'25'!$C$4</f>
        <v>0</v>
      </c>
      <c r="K41" s="28">
        <f>'26'!$C$4</f>
        <v>0</v>
      </c>
      <c r="L41" s="28">
        <f>'27'!$C$4</f>
        <v>0</v>
      </c>
      <c r="M41" s="28">
        <f>'28'!$C$4</f>
        <v>0</v>
      </c>
      <c r="N41" s="28">
        <f>'29'!$C$4</f>
        <v>0</v>
      </c>
      <c r="O41" s="28">
        <f>'30'!$C$4</f>
        <v>0</v>
      </c>
      <c r="P41" s="28">
        <f>'31'!$C$4</f>
        <v>0</v>
      </c>
      <c r="Q41" s="20">
        <f t="shared" si="6"/>
        <v>0</v>
      </c>
    </row>
    <row r="42" spans="1:17" x14ac:dyDescent="0.3">
      <c r="A42" s="63" t="s">
        <v>110</v>
      </c>
      <c r="B42" s="28">
        <f>'17'!$C$5</f>
        <v>0</v>
      </c>
      <c r="C42" s="28">
        <f>'18'!$C$5</f>
        <v>0</v>
      </c>
      <c r="D42" s="28">
        <f>'19'!$C$5</f>
        <v>0</v>
      </c>
      <c r="E42" s="28">
        <f>'20'!$C$5</f>
        <v>0</v>
      </c>
      <c r="F42" s="28">
        <f>'21'!$C$5</f>
        <v>0</v>
      </c>
      <c r="G42" s="28">
        <f>'22'!$C$5</f>
        <v>0</v>
      </c>
      <c r="H42" s="28">
        <f>'23'!$C$5</f>
        <v>0</v>
      </c>
      <c r="I42" s="28">
        <f>'24'!$C$5</f>
        <v>0</v>
      </c>
      <c r="J42" s="28">
        <f>'25'!$C$5</f>
        <v>0</v>
      </c>
      <c r="K42" s="28">
        <f>'26'!$C$5</f>
        <v>0</v>
      </c>
      <c r="L42" s="28">
        <f>'27'!$C$5</f>
        <v>0</v>
      </c>
      <c r="M42" s="28">
        <f>'28'!$C$5</f>
        <v>0</v>
      </c>
      <c r="N42" s="28">
        <f>'29'!$C$5</f>
        <v>0</v>
      </c>
      <c r="O42" s="28">
        <f>'30'!$C$5</f>
        <v>0</v>
      </c>
      <c r="P42" s="28">
        <f>'31'!$C$5</f>
        <v>0</v>
      </c>
      <c r="Q42" s="20">
        <f t="shared" si="6"/>
        <v>0</v>
      </c>
    </row>
    <row r="43" spans="1:17" x14ac:dyDescent="0.3">
      <c r="A43" s="63" t="s">
        <v>44</v>
      </c>
      <c r="B43" s="28">
        <f>'17'!$C$6</f>
        <v>0</v>
      </c>
      <c r="C43" s="28">
        <f>'18'!$C$6</f>
        <v>0</v>
      </c>
      <c r="D43" s="28">
        <f>'19'!$C$6</f>
        <v>0</v>
      </c>
      <c r="E43" s="28">
        <f>'20'!$C$6</f>
        <v>0</v>
      </c>
      <c r="F43" s="28">
        <f>'21'!$C$6</f>
        <v>0</v>
      </c>
      <c r="G43" s="28">
        <f>'22'!$C$6</f>
        <v>0</v>
      </c>
      <c r="H43" s="28">
        <f>'23'!$C$6</f>
        <v>0</v>
      </c>
      <c r="I43" s="28">
        <f>'24'!$C$6</f>
        <v>0</v>
      </c>
      <c r="J43" s="28">
        <f>'25'!$C$6</f>
        <v>0</v>
      </c>
      <c r="K43" s="28">
        <f>'26'!$C$6</f>
        <v>0</v>
      </c>
      <c r="L43" s="28">
        <f>'27'!$C$6</f>
        <v>0</v>
      </c>
      <c r="M43" s="28">
        <f>'28'!$C$6</f>
        <v>0</v>
      </c>
      <c r="N43" s="28">
        <f>'29'!$C$6</f>
        <v>0</v>
      </c>
      <c r="O43" s="28">
        <f>'30'!$C$6</f>
        <v>0</v>
      </c>
      <c r="P43" s="28">
        <f>'31'!$C$6</f>
        <v>0</v>
      </c>
      <c r="Q43" s="20">
        <f t="shared" si="6"/>
        <v>0</v>
      </c>
    </row>
    <row r="44" spans="1:17" x14ac:dyDescent="0.3">
      <c r="A44" s="63" t="s">
        <v>75</v>
      </c>
      <c r="B44" s="28">
        <f>'17'!$C$7</f>
        <v>0</v>
      </c>
      <c r="C44" s="28">
        <f>'18'!$C$7</f>
        <v>0</v>
      </c>
      <c r="D44" s="28">
        <f>'19'!$C$7</f>
        <v>0</v>
      </c>
      <c r="E44" s="28">
        <f>'20'!$C$7</f>
        <v>0</v>
      </c>
      <c r="F44" s="28">
        <f>'21'!$C$7</f>
        <v>0</v>
      </c>
      <c r="G44" s="28">
        <f>'22'!$C$7</f>
        <v>0</v>
      </c>
      <c r="H44" s="28">
        <f>'23'!$C$7</f>
        <v>0</v>
      </c>
      <c r="I44" s="28">
        <f>'24'!$C$7</f>
        <v>0</v>
      </c>
      <c r="J44" s="28">
        <f>'25'!$C$7</f>
        <v>0</v>
      </c>
      <c r="K44" s="28">
        <f>'26'!$C$7</f>
        <v>0</v>
      </c>
      <c r="L44" s="28">
        <f>'27'!$C$7</f>
        <v>0</v>
      </c>
      <c r="M44" s="28">
        <f>'28'!$C$7</f>
        <v>0</v>
      </c>
      <c r="N44" s="28">
        <f>'29'!$C$7</f>
        <v>0</v>
      </c>
      <c r="O44" s="28">
        <f>'30'!$C$7</f>
        <v>0</v>
      </c>
      <c r="P44" s="28">
        <f>'31'!$C$7</f>
        <v>0</v>
      </c>
      <c r="Q44" s="20">
        <f t="shared" si="6"/>
        <v>0</v>
      </c>
    </row>
    <row r="45" spans="1:17" x14ac:dyDescent="0.3">
      <c r="A45" s="63" t="s">
        <v>49</v>
      </c>
      <c r="B45" s="28">
        <f>'17'!$C$8</f>
        <v>0</v>
      </c>
      <c r="C45" s="28">
        <f>'18'!$C$8</f>
        <v>0</v>
      </c>
      <c r="D45" s="28">
        <f>'19'!$C$8</f>
        <v>0</v>
      </c>
      <c r="E45" s="28">
        <f>'20'!$C$8</f>
        <v>0</v>
      </c>
      <c r="F45" s="28">
        <f>'21'!$C$8</f>
        <v>0</v>
      </c>
      <c r="G45" s="28">
        <f>'22'!$C$8</f>
        <v>0</v>
      </c>
      <c r="H45" s="28">
        <f>'23'!$C$8</f>
        <v>0</v>
      </c>
      <c r="I45" s="28">
        <f>'24'!$C$8</f>
        <v>0</v>
      </c>
      <c r="J45" s="28">
        <f>'25'!$C$8</f>
        <v>0</v>
      </c>
      <c r="K45" s="28">
        <f>'26'!$C$8</f>
        <v>0</v>
      </c>
      <c r="L45" s="28">
        <f>'27'!$C$8</f>
        <v>0</v>
      </c>
      <c r="M45" s="28">
        <f>'28'!$C$8</f>
        <v>0</v>
      </c>
      <c r="N45" s="28">
        <f>'29'!$C$8</f>
        <v>0</v>
      </c>
      <c r="O45" s="28">
        <f>'30'!$C$8</f>
        <v>0</v>
      </c>
      <c r="P45" s="28">
        <f>'31'!$C$8</f>
        <v>0</v>
      </c>
      <c r="Q45" s="20">
        <f t="shared" si="6"/>
        <v>0</v>
      </c>
    </row>
    <row r="46" spans="1:17" x14ac:dyDescent="0.3">
      <c r="A46" s="63" t="s">
        <v>15</v>
      </c>
      <c r="B46" s="28">
        <f>'17'!$C$9</f>
        <v>0</v>
      </c>
      <c r="C46" s="28">
        <f>'18'!$C$9</f>
        <v>0</v>
      </c>
      <c r="D46" s="28">
        <f>'19'!$C$9</f>
        <v>0</v>
      </c>
      <c r="E46" s="28">
        <f>'20'!$C$9</f>
        <v>0</v>
      </c>
      <c r="F46" s="28">
        <f>'21'!$C$9</f>
        <v>0</v>
      </c>
      <c r="G46" s="28">
        <f>'22'!$C$9</f>
        <v>0</v>
      </c>
      <c r="H46" s="28">
        <f>'23'!$C$9</f>
        <v>0</v>
      </c>
      <c r="I46" s="28">
        <f>'24'!$C$9</f>
        <v>0</v>
      </c>
      <c r="J46" s="28">
        <f>'25'!$C$9</f>
        <v>0</v>
      </c>
      <c r="K46" s="28">
        <f>'26'!$C$9</f>
        <v>0</v>
      </c>
      <c r="L46" s="28">
        <f>'27'!$C$9</f>
        <v>0</v>
      </c>
      <c r="M46" s="28">
        <f>'28'!$C$9</f>
        <v>0</v>
      </c>
      <c r="N46" s="28">
        <f>'29'!$C$9</f>
        <v>0</v>
      </c>
      <c r="O46" s="28">
        <f>'30'!$C$9</f>
        <v>0</v>
      </c>
      <c r="P46" s="28">
        <f>'31'!$C$9</f>
        <v>0</v>
      </c>
      <c r="Q46" s="29">
        <f t="shared" si="6"/>
        <v>2</v>
      </c>
    </row>
    <row r="47" spans="1:17" x14ac:dyDescent="0.3">
      <c r="A47" s="63" t="str">
        <f>A10</f>
        <v>BU BİLET MÜŞTERİ SAYISI</v>
      </c>
      <c r="B47" s="28">
        <f>'17'!$C$10</f>
        <v>0</v>
      </c>
      <c r="C47" s="28">
        <f>'18'!$C$10</f>
        <v>0</v>
      </c>
      <c r="D47" s="28">
        <f>'19'!$C$10</f>
        <v>0</v>
      </c>
      <c r="E47" s="28">
        <f>'20'!$C$10</f>
        <v>0</v>
      </c>
      <c r="F47" s="28">
        <f>'21'!$C$10</f>
        <v>0</v>
      </c>
      <c r="G47" s="28">
        <f>'22'!$C$10</f>
        <v>0</v>
      </c>
      <c r="H47" s="28">
        <f>'23'!$C$10</f>
        <v>0</v>
      </c>
      <c r="I47" s="28">
        <f>'24'!$C$10</f>
        <v>0</v>
      </c>
      <c r="J47" s="28">
        <f>'25'!$C$10</f>
        <v>0</v>
      </c>
      <c r="K47" s="28">
        <f>'26'!$C$10</f>
        <v>0</v>
      </c>
      <c r="L47" s="28">
        <f>'27'!$C$10</f>
        <v>0</v>
      </c>
      <c r="M47" s="28">
        <f>'28'!$C$10</f>
        <v>0</v>
      </c>
      <c r="N47" s="28">
        <f>'29'!$C$10</f>
        <v>0</v>
      </c>
      <c r="O47" s="28">
        <f>'30'!$C$10</f>
        <v>0</v>
      </c>
      <c r="P47" s="28">
        <f>'31'!$C$10</f>
        <v>0</v>
      </c>
      <c r="Q47" s="29">
        <f t="shared" si="6"/>
        <v>0</v>
      </c>
    </row>
    <row r="48" spans="1:17" x14ac:dyDescent="0.3">
      <c r="A48" s="63" t="s">
        <v>47</v>
      </c>
      <c r="B48" s="28">
        <f>'17'!$C$11</f>
        <v>0</v>
      </c>
      <c r="C48" s="28">
        <f>'18'!$C$11</f>
        <v>0</v>
      </c>
      <c r="D48" s="28">
        <f>'19'!$C$11</f>
        <v>0</v>
      </c>
      <c r="E48" s="28">
        <f>'20'!$C$11</f>
        <v>0</v>
      </c>
      <c r="F48" s="28">
        <f>'21'!$C$11</f>
        <v>0</v>
      </c>
      <c r="G48" s="28">
        <f>'22'!$C$11</f>
        <v>0</v>
      </c>
      <c r="H48" s="28">
        <f>'23'!$C$11</f>
        <v>0</v>
      </c>
      <c r="I48" s="28">
        <f>'24'!$C$11</f>
        <v>0</v>
      </c>
      <c r="J48" s="28">
        <f>'25'!$C$11</f>
        <v>0</v>
      </c>
      <c r="K48" s="28">
        <f>'26'!$C$11</f>
        <v>0</v>
      </c>
      <c r="L48" s="28">
        <f>'27'!$C$11</f>
        <v>0</v>
      </c>
      <c r="M48" s="28">
        <f>'28'!$C$11</f>
        <v>0</v>
      </c>
      <c r="N48" s="28">
        <f>'29'!$C$11</f>
        <v>0</v>
      </c>
      <c r="O48" s="28">
        <f>'30'!$C$11</f>
        <v>0</v>
      </c>
      <c r="P48" s="28">
        <f>'31'!$C$11</f>
        <v>0</v>
      </c>
      <c r="Q48" s="29">
        <f t="shared" si="6"/>
        <v>5</v>
      </c>
    </row>
    <row r="49" spans="1:22" ht="15" thickBot="1" x14ac:dyDescent="0.35">
      <c r="A49" s="63" t="s">
        <v>32</v>
      </c>
      <c r="B49" s="28">
        <f>'17'!$C$12</f>
        <v>0</v>
      </c>
      <c r="C49" s="28">
        <f>'18'!$C$12</f>
        <v>0</v>
      </c>
      <c r="D49" s="28">
        <f>'19'!$C$12</f>
        <v>0</v>
      </c>
      <c r="E49" s="28">
        <f>'20'!$C$12</f>
        <v>0</v>
      </c>
      <c r="F49" s="28">
        <f>'21'!$C$12</f>
        <v>0</v>
      </c>
      <c r="G49" s="28">
        <f>'22'!$C$12</f>
        <v>0</v>
      </c>
      <c r="H49" s="28">
        <f>'23'!$C$12</f>
        <v>0</v>
      </c>
      <c r="I49" s="28">
        <f>'24'!$C$12</f>
        <v>0</v>
      </c>
      <c r="J49" s="28">
        <f>'25'!$C$12</f>
        <v>0</v>
      </c>
      <c r="K49" s="28">
        <f>'26'!$C$12</f>
        <v>0</v>
      </c>
      <c r="L49" s="28">
        <f>'27'!$C$12</f>
        <v>0</v>
      </c>
      <c r="M49" s="28">
        <f>'28'!$C$12</f>
        <v>0</v>
      </c>
      <c r="N49" s="28">
        <f>'29'!$C$12</f>
        <v>0</v>
      </c>
      <c r="O49" s="28">
        <f>'30'!$C$12</f>
        <v>0</v>
      </c>
      <c r="P49" s="28">
        <f>'31'!$C$12</f>
        <v>0</v>
      </c>
      <c r="Q49" s="145">
        <f t="shared" si="6"/>
        <v>38</v>
      </c>
    </row>
    <row r="50" spans="1:22" ht="29.4" thickTop="1" x14ac:dyDescent="0.3">
      <c r="A50" s="149" t="s">
        <v>91</v>
      </c>
      <c r="B50" s="150">
        <f>'17'!$D$13+'17'!$D$15</f>
        <v>0</v>
      </c>
      <c r="C50" s="150">
        <f>'18'!$D$13+'18'!$D$15</f>
        <v>0</v>
      </c>
      <c r="D50" s="150">
        <f>'19'!$D$13+'19'!$D$15</f>
        <v>0</v>
      </c>
      <c r="E50" s="150">
        <f>'20'!$D$13+'20'!$D$15</f>
        <v>0</v>
      </c>
      <c r="F50" s="150">
        <f>'21'!$D$13+'21'!$D$15</f>
        <v>0</v>
      </c>
      <c r="G50" s="150">
        <f>'22'!$D$13+'22'!$D$15</f>
        <v>0</v>
      </c>
      <c r="H50" s="150">
        <f>'23'!$D$13+'23'!$D$15</f>
        <v>0</v>
      </c>
      <c r="I50" s="150">
        <f>'24'!$D$13+'24'!$D$15</f>
        <v>0</v>
      </c>
      <c r="J50" s="150">
        <f>'25'!$D$13+'25'!$D$15</f>
        <v>0</v>
      </c>
      <c r="K50" s="150">
        <f>'26'!$D$13+'26'!$D$15</f>
        <v>0</v>
      </c>
      <c r="L50" s="150">
        <f>'27'!$D$13+'27'!$D$15</f>
        <v>0</v>
      </c>
      <c r="M50" s="150">
        <f>'28'!$D$13+'28'!$D$15</f>
        <v>0</v>
      </c>
      <c r="N50" s="150">
        <f>'29'!$D$13+'29'!$D$15</f>
        <v>0</v>
      </c>
      <c r="O50" s="150">
        <f>'30'!$D$13+'30'!$D$15</f>
        <v>0</v>
      </c>
      <c r="P50" s="150">
        <f>'31'!$D$13+'31'!$D$15</f>
        <v>0</v>
      </c>
      <c r="Q50" s="150">
        <f t="shared" si="6"/>
        <v>0</v>
      </c>
      <c r="R50" s="23"/>
    </row>
    <row r="51" spans="1:22" ht="28.8" x14ac:dyDescent="0.3">
      <c r="A51" s="32" t="s">
        <v>92</v>
      </c>
      <c r="B51" s="33">
        <f>'17'!$D$14+'17'!$D$16</f>
        <v>0</v>
      </c>
      <c r="C51" s="33">
        <f>'18'!$D$14+'18'!$D$16</f>
        <v>0</v>
      </c>
      <c r="D51" s="33">
        <f>'19'!$D$14+'19'!$D$16</f>
        <v>0</v>
      </c>
      <c r="E51" s="33">
        <f>'20'!$D$14+'20'!$D$16</f>
        <v>0</v>
      </c>
      <c r="F51" s="33">
        <f>'21'!$D$14+'21'!$D$16</f>
        <v>0</v>
      </c>
      <c r="G51" s="33">
        <f>'22'!$D$14+'22'!$D$16</f>
        <v>0</v>
      </c>
      <c r="H51" s="33">
        <f>'23'!$D$14+'23'!$D$16</f>
        <v>0</v>
      </c>
      <c r="I51" s="33">
        <f>'24'!$D$14+'24'!$D$16</f>
        <v>0</v>
      </c>
      <c r="J51" s="33">
        <f>'25'!$D$14+'25'!$D$16</f>
        <v>0</v>
      </c>
      <c r="K51" s="33">
        <f>'26'!$D$14+'26'!$D$16</f>
        <v>0</v>
      </c>
      <c r="L51" s="33">
        <f>'27'!$D$14+'27'!$D$16</f>
        <v>0</v>
      </c>
      <c r="M51" s="33">
        <f>'28'!$D$14+'28'!$D$16</f>
        <v>0</v>
      </c>
      <c r="N51" s="33">
        <f>'29'!$D$14+'29'!$D$16</f>
        <v>0</v>
      </c>
      <c r="O51" s="33">
        <f>'30'!$D$14+'30'!$D$16</f>
        <v>0</v>
      </c>
      <c r="P51" s="33">
        <f>'31'!$D$14+'31'!$D$16</f>
        <v>0</v>
      </c>
      <c r="Q51" s="33">
        <f t="shared" si="6"/>
        <v>226065</v>
      </c>
      <c r="R51" s="23"/>
    </row>
    <row r="52" spans="1:22" x14ac:dyDescent="0.3">
      <c r="A52" s="34" t="s">
        <v>88</v>
      </c>
      <c r="B52" s="33">
        <f>'17'!$D$4</f>
        <v>0</v>
      </c>
      <c r="C52" s="33">
        <f>'18'!$D$4</f>
        <v>0</v>
      </c>
      <c r="D52" s="33">
        <f>'19'!$D$4</f>
        <v>0</v>
      </c>
      <c r="E52" s="33">
        <f>'20'!$D$4</f>
        <v>0</v>
      </c>
      <c r="F52" s="33">
        <f>'21'!$D$4</f>
        <v>0</v>
      </c>
      <c r="G52" s="33">
        <f>'22'!$D$4</f>
        <v>0</v>
      </c>
      <c r="H52" s="33">
        <f>'23'!$D$4</f>
        <v>0</v>
      </c>
      <c r="I52" s="33">
        <f>'24'!$D$4</f>
        <v>0</v>
      </c>
      <c r="J52" s="33">
        <f>'25'!$D$4</f>
        <v>0</v>
      </c>
      <c r="K52" s="33">
        <f>'26'!$D$4</f>
        <v>0</v>
      </c>
      <c r="L52" s="33">
        <f>'27'!$D$4</f>
        <v>0</v>
      </c>
      <c r="M52" s="33">
        <f>'28'!$D$4</f>
        <v>0</v>
      </c>
      <c r="N52" s="33">
        <f>'29'!$D$4</f>
        <v>0</v>
      </c>
      <c r="O52" s="33">
        <f>'30'!$D$4</f>
        <v>0</v>
      </c>
      <c r="P52" s="33">
        <f>'31'!$D$4</f>
        <v>0</v>
      </c>
      <c r="Q52" s="33">
        <f t="shared" si="6"/>
        <v>0</v>
      </c>
    </row>
    <row r="53" spans="1:22" x14ac:dyDescent="0.3">
      <c r="A53" s="34" t="s">
        <v>89</v>
      </c>
      <c r="B53" s="33">
        <f>'17'!$D$5</f>
        <v>0</v>
      </c>
      <c r="C53" s="33">
        <f>'18'!$D$5</f>
        <v>0</v>
      </c>
      <c r="D53" s="33">
        <f>'19'!$D$5</f>
        <v>0</v>
      </c>
      <c r="E53" s="33">
        <f>'20'!$D$5</f>
        <v>0</v>
      </c>
      <c r="F53" s="33">
        <f>'21'!$D$5</f>
        <v>0</v>
      </c>
      <c r="G53" s="33">
        <f>'22'!$D$5</f>
        <v>0</v>
      </c>
      <c r="H53" s="33">
        <f>'23'!$D$5</f>
        <v>0</v>
      </c>
      <c r="I53" s="33">
        <f>'24'!$D$5</f>
        <v>0</v>
      </c>
      <c r="J53" s="33">
        <f>'25'!$D$5</f>
        <v>0</v>
      </c>
      <c r="K53" s="33">
        <f>'26'!$D$5</f>
        <v>0</v>
      </c>
      <c r="L53" s="33">
        <f>'27'!$D$5</f>
        <v>0</v>
      </c>
      <c r="M53" s="33">
        <f>'28'!$D$5</f>
        <v>0</v>
      </c>
      <c r="N53" s="33">
        <f>'29'!$D$5</f>
        <v>0</v>
      </c>
      <c r="O53" s="33">
        <f>'30'!$D$5</f>
        <v>0</v>
      </c>
      <c r="P53" s="33">
        <f>'31'!$D$5</f>
        <v>0</v>
      </c>
      <c r="Q53" s="33"/>
    </row>
    <row r="54" spans="1:22" x14ac:dyDescent="0.3">
      <c r="A54" s="34" t="s">
        <v>84</v>
      </c>
      <c r="B54" s="33">
        <f>'17'!$D$7</f>
        <v>0</v>
      </c>
      <c r="C54" s="33">
        <f>'18'!$D$7</f>
        <v>0</v>
      </c>
      <c r="D54" s="33">
        <f>'19'!$D$7</f>
        <v>0</v>
      </c>
      <c r="E54" s="33">
        <f>'20'!$D$7</f>
        <v>0</v>
      </c>
      <c r="F54" s="33">
        <f>'21'!$D$7</f>
        <v>0</v>
      </c>
      <c r="G54" s="33">
        <f>'22'!$D$7</f>
        <v>0</v>
      </c>
      <c r="H54" s="33">
        <f>'23'!$D$7</f>
        <v>0</v>
      </c>
      <c r="I54" s="33">
        <f>'24'!$D$7</f>
        <v>0</v>
      </c>
      <c r="J54" s="33">
        <f>'25'!$D$7</f>
        <v>0</v>
      </c>
      <c r="K54" s="33">
        <f>'26'!$D$7</f>
        <v>0</v>
      </c>
      <c r="L54" s="33">
        <f>'27'!$D$7</f>
        <v>0</v>
      </c>
      <c r="M54" s="33">
        <f>'28'!$D$7</f>
        <v>0</v>
      </c>
      <c r="N54" s="33">
        <f>'29'!$D$7</f>
        <v>0</v>
      </c>
      <c r="O54" s="33">
        <f>'30'!$D$7</f>
        <v>0</v>
      </c>
      <c r="P54" s="33">
        <f>'31'!$D$7</f>
        <v>0</v>
      </c>
      <c r="Q54" s="33">
        <f t="shared" ref="Q54:Q72" si="7">SUM(B17:Q17)+SUM(B54:P54)</f>
        <v>0</v>
      </c>
    </row>
    <row r="55" spans="1:22" x14ac:dyDescent="0.3">
      <c r="A55" s="34" t="s">
        <v>43</v>
      </c>
      <c r="B55" s="33">
        <f>'17'!$D$6</f>
        <v>0</v>
      </c>
      <c r="C55" s="33">
        <f>'18'!$D$6</f>
        <v>0</v>
      </c>
      <c r="D55" s="33">
        <f>'19'!$D$6</f>
        <v>0</v>
      </c>
      <c r="E55" s="33">
        <f>'20'!$D$6</f>
        <v>0</v>
      </c>
      <c r="F55" s="33">
        <f>'21'!$D$6</f>
        <v>0</v>
      </c>
      <c r="G55" s="33">
        <f>'22'!$D$6</f>
        <v>0</v>
      </c>
      <c r="H55" s="33">
        <f>'23'!$D$6</f>
        <v>0</v>
      </c>
      <c r="I55" s="33">
        <f>'24'!$D$6</f>
        <v>0</v>
      </c>
      <c r="J55" s="33">
        <f>'25'!$D$6</f>
        <v>0</v>
      </c>
      <c r="K55" s="33">
        <f>'26'!$D$6</f>
        <v>0</v>
      </c>
      <c r="L55" s="33">
        <f>'27'!$D$6</f>
        <v>0</v>
      </c>
      <c r="M55" s="33">
        <f>'28'!$D$6</f>
        <v>0</v>
      </c>
      <c r="N55" s="33">
        <f>'29'!$D$6</f>
        <v>0</v>
      </c>
      <c r="O55" s="33">
        <f>'30'!$D$6</f>
        <v>0</v>
      </c>
      <c r="P55" s="33">
        <f>'31'!$D$6</f>
        <v>0</v>
      </c>
      <c r="Q55" s="33">
        <f t="shared" si="7"/>
        <v>0</v>
      </c>
    </row>
    <row r="56" spans="1:22" ht="28.8" x14ac:dyDescent="0.3">
      <c r="A56" s="34" t="s">
        <v>50</v>
      </c>
      <c r="B56" s="33">
        <f>'17'!$D$8</f>
        <v>0</v>
      </c>
      <c r="C56" s="33">
        <f>'18'!$D$8</f>
        <v>0</v>
      </c>
      <c r="D56" s="33">
        <f>'19'!$D$8</f>
        <v>0</v>
      </c>
      <c r="E56" s="33">
        <f>'20'!$D$8</f>
        <v>0</v>
      </c>
      <c r="F56" s="33">
        <f>'21'!$D$8</f>
        <v>0</v>
      </c>
      <c r="G56" s="33">
        <f>'22'!$D$8</f>
        <v>0</v>
      </c>
      <c r="H56" s="33">
        <f>'23'!$D$8</f>
        <v>0</v>
      </c>
      <c r="I56" s="33">
        <f>'24'!$D$8</f>
        <v>0</v>
      </c>
      <c r="J56" s="33">
        <f>'25'!$D$8</f>
        <v>0</v>
      </c>
      <c r="K56" s="33">
        <f>'26'!$D$8</f>
        <v>0</v>
      </c>
      <c r="L56" s="33">
        <f>'27'!$D$8</f>
        <v>0</v>
      </c>
      <c r="M56" s="33">
        <f>'28'!$D$8</f>
        <v>0</v>
      </c>
      <c r="N56" s="33">
        <f>'29'!$D$8</f>
        <v>0</v>
      </c>
      <c r="O56" s="33">
        <f>'30'!$D$8</f>
        <v>0</v>
      </c>
      <c r="P56" s="33">
        <f>'31'!$D$8</f>
        <v>0</v>
      </c>
      <c r="Q56" s="33">
        <f t="shared" si="7"/>
        <v>0</v>
      </c>
    </row>
    <row r="57" spans="1:22" x14ac:dyDescent="0.3">
      <c r="A57" s="32" t="s">
        <v>21</v>
      </c>
      <c r="B57" s="33">
        <f>'17'!$D$9</f>
        <v>0</v>
      </c>
      <c r="C57" s="33">
        <f>'18'!$D$9</f>
        <v>0</v>
      </c>
      <c r="D57" s="33">
        <f>'19'!$D$9</f>
        <v>0</v>
      </c>
      <c r="E57" s="33">
        <f>'20'!$D$9</f>
        <v>0</v>
      </c>
      <c r="F57" s="33">
        <f>'21'!$D$9</f>
        <v>0</v>
      </c>
      <c r="G57" s="33">
        <f>'22'!$D$9</f>
        <v>0</v>
      </c>
      <c r="H57" s="33">
        <f>'23'!$D$9</f>
        <v>0</v>
      </c>
      <c r="I57" s="33">
        <f>'24'!$D$9</f>
        <v>0</v>
      </c>
      <c r="J57" s="33">
        <f>'25'!$D$9</f>
        <v>0</v>
      </c>
      <c r="K57" s="33">
        <f>'26'!$D$9</f>
        <v>0</v>
      </c>
      <c r="L57" s="33">
        <f>'27'!$D$9</f>
        <v>0</v>
      </c>
      <c r="M57" s="33">
        <f>'28'!$D$9</f>
        <v>0</v>
      </c>
      <c r="N57" s="33">
        <f>'29'!$D$9</f>
        <v>0</v>
      </c>
      <c r="O57" s="33">
        <f>'30'!$D$9</f>
        <v>0</v>
      </c>
      <c r="P57" s="33">
        <f>'31'!$D$9</f>
        <v>0</v>
      </c>
      <c r="Q57" s="33">
        <f t="shared" si="7"/>
        <v>13000</v>
      </c>
    </row>
    <row r="58" spans="1:22" x14ac:dyDescent="0.3">
      <c r="A58" s="32" t="str">
        <f>A21</f>
        <v>BU BİLET</v>
      </c>
      <c r="B58" s="33">
        <f>'17'!$D$10</f>
        <v>0</v>
      </c>
      <c r="C58" s="33">
        <f>'18'!$D$10</f>
        <v>0</v>
      </c>
      <c r="D58" s="33">
        <f>'19'!$D$10</f>
        <v>0</v>
      </c>
      <c r="E58" s="33">
        <f>'20'!$D$10</f>
        <v>0</v>
      </c>
      <c r="F58" s="33">
        <f>'21'!$D$10</f>
        <v>0</v>
      </c>
      <c r="G58" s="33">
        <f>'22'!$D$10</f>
        <v>0</v>
      </c>
      <c r="H58" s="33">
        <f>'23'!$D$10</f>
        <v>0</v>
      </c>
      <c r="I58" s="33">
        <f>'24'!$D$10</f>
        <v>0</v>
      </c>
      <c r="J58" s="33">
        <f>'25'!$D$10</f>
        <v>0</v>
      </c>
      <c r="K58" s="33">
        <f>'26'!$D$10</f>
        <v>0</v>
      </c>
      <c r="L58" s="33">
        <f>'27'!$D$10</f>
        <v>0</v>
      </c>
      <c r="M58" s="33">
        <f>'28'!$D$10</f>
        <v>0</v>
      </c>
      <c r="N58" s="33">
        <f>'29'!$D$10</f>
        <v>0</v>
      </c>
      <c r="O58" s="33">
        <f>'30'!$D$10</f>
        <v>0</v>
      </c>
      <c r="P58" s="33">
        <f>'31'!$D$10</f>
        <v>0</v>
      </c>
      <c r="Q58" s="33">
        <f t="shared" si="7"/>
        <v>0</v>
      </c>
    </row>
    <row r="59" spans="1:22" x14ac:dyDescent="0.3">
      <c r="A59" s="32" t="s">
        <v>46</v>
      </c>
      <c r="B59" s="33">
        <f>'17'!$D$11</f>
        <v>0</v>
      </c>
      <c r="C59" s="33">
        <f>'18'!$D$11</f>
        <v>0</v>
      </c>
      <c r="D59" s="33">
        <f>'19'!$D$11</f>
        <v>0</v>
      </c>
      <c r="E59" s="33">
        <f>'20'!$D$11</f>
        <v>0</v>
      </c>
      <c r="F59" s="33">
        <f>'21'!$D$11</f>
        <v>0</v>
      </c>
      <c r="G59" s="33">
        <f>'22'!$D$11</f>
        <v>0</v>
      </c>
      <c r="H59" s="33">
        <f>'23'!$D$11</f>
        <v>0</v>
      </c>
      <c r="I59" s="33">
        <f>'24'!$D$11</f>
        <v>0</v>
      </c>
      <c r="J59" s="33">
        <f>'25'!$D$11</f>
        <v>0</v>
      </c>
      <c r="K59" s="33">
        <f>'26'!$D$11</f>
        <v>0</v>
      </c>
      <c r="L59" s="33">
        <f>'27'!$D$11</f>
        <v>0</v>
      </c>
      <c r="M59" s="33">
        <f>'28'!$D$11</f>
        <v>0</v>
      </c>
      <c r="N59" s="33">
        <f>'29'!$D$11</f>
        <v>0</v>
      </c>
      <c r="O59" s="33">
        <f>'30'!$D$11</f>
        <v>0</v>
      </c>
      <c r="P59" s="33">
        <f>'31'!$D$11</f>
        <v>0</v>
      </c>
      <c r="Q59" s="33">
        <f t="shared" si="7"/>
        <v>29200</v>
      </c>
    </row>
    <row r="60" spans="1:22" ht="18" thickBot="1" x14ac:dyDescent="0.5">
      <c r="A60" s="151" t="s">
        <v>24</v>
      </c>
      <c r="B60" s="152">
        <f t="shared" ref="B60:P60" si="8">SUM(B50:B59)</f>
        <v>0</v>
      </c>
      <c r="C60" s="152">
        <f t="shared" si="8"/>
        <v>0</v>
      </c>
      <c r="D60" s="152">
        <f t="shared" si="8"/>
        <v>0</v>
      </c>
      <c r="E60" s="152">
        <f t="shared" si="8"/>
        <v>0</v>
      </c>
      <c r="F60" s="152">
        <f t="shared" si="8"/>
        <v>0</v>
      </c>
      <c r="G60" s="152">
        <f t="shared" si="8"/>
        <v>0</v>
      </c>
      <c r="H60" s="152">
        <f t="shared" si="8"/>
        <v>0</v>
      </c>
      <c r="I60" s="152">
        <f t="shared" si="8"/>
        <v>0</v>
      </c>
      <c r="J60" s="152">
        <f t="shared" si="8"/>
        <v>0</v>
      </c>
      <c r="K60" s="152">
        <f t="shared" si="8"/>
        <v>0</v>
      </c>
      <c r="L60" s="152">
        <f t="shared" si="8"/>
        <v>0</v>
      </c>
      <c r="M60" s="152">
        <f t="shared" si="8"/>
        <v>0</v>
      </c>
      <c r="N60" s="152">
        <f t="shared" si="8"/>
        <v>0</v>
      </c>
      <c r="O60" s="152">
        <f t="shared" si="8"/>
        <v>0</v>
      </c>
      <c r="P60" s="152">
        <f t="shared" si="8"/>
        <v>0</v>
      </c>
      <c r="Q60" s="152">
        <f t="shared" si="7"/>
        <v>268265</v>
      </c>
      <c r="R60" s="314" t="s">
        <v>37</v>
      </c>
      <c r="S60" s="315"/>
      <c r="T60" s="43">
        <v>9250000</v>
      </c>
      <c r="U60" s="11">
        <f>'1'!E2+'2'!E2+'3'!E2+'4'!E2+'5'!E2+'6'!E2+'7'!E2+'8'!E2+'9'!E2+'10'!E2+'11'!E2+'12'!E2+'13'!E2+'14'!E2+'15'!E2+'16'!E2+'17'!E2+'18'!E2+'19'!E2+'20'!E2+'21'!E2+'22'!E2+'23'!E2+'24'!E2+'25'!E2+'26'!E2+'27'!E2+'28'!E2+'29'!E2+'30'!E2+'31'!E2</f>
        <v>268265</v>
      </c>
      <c r="V60" s="11" t="b">
        <f>Q60=U60</f>
        <v>1</v>
      </c>
    </row>
    <row r="61" spans="1:22" ht="29.4" thickTop="1" x14ac:dyDescent="0.3">
      <c r="A61" s="146" t="str">
        <f>A24</f>
        <v>GÜNLÜK KASADAN HARCAMALAR TOPLAMI</v>
      </c>
      <c r="B61" s="147">
        <f>'17'!$D$19</f>
        <v>0</v>
      </c>
      <c r="C61" s="147">
        <f>'18'!$D$19</f>
        <v>0</v>
      </c>
      <c r="D61" s="147">
        <f>'19'!$D$19</f>
        <v>0</v>
      </c>
      <c r="E61" s="147">
        <f>'20'!$D$19</f>
        <v>0</v>
      </c>
      <c r="F61" s="147">
        <f>'21'!$D$19</f>
        <v>0</v>
      </c>
      <c r="G61" s="147">
        <f>'22'!$D$19</f>
        <v>0</v>
      </c>
      <c r="H61" s="147">
        <f>'23'!$D$19</f>
        <v>0</v>
      </c>
      <c r="I61" s="147">
        <f>'24'!$D$19</f>
        <v>0</v>
      </c>
      <c r="J61" s="147">
        <f>'25'!$D$19</f>
        <v>0</v>
      </c>
      <c r="K61" s="147">
        <f>'26'!$D$19</f>
        <v>0</v>
      </c>
      <c r="L61" s="147">
        <f>'27'!$D$19</f>
        <v>0</v>
      </c>
      <c r="M61" s="147">
        <f>'28'!$D$19</f>
        <v>0</v>
      </c>
      <c r="N61" s="147">
        <f>'29'!$D$19</f>
        <v>0</v>
      </c>
      <c r="O61" s="147">
        <f>'30'!$D$19</f>
        <v>0</v>
      </c>
      <c r="P61" s="147">
        <f>'31'!$D$19</f>
        <v>0</v>
      </c>
      <c r="Q61" s="148">
        <f t="shared" si="7"/>
        <v>39930</v>
      </c>
      <c r="T61" s="23">
        <f>Q60/1*31</f>
        <v>8316215</v>
      </c>
    </row>
    <row r="62" spans="1:22" ht="43.2" x14ac:dyDescent="0.3">
      <c r="A62" s="21" t="str">
        <f>A25</f>
        <v>YÖNETİME TESLİM EDİLMESİ GEREKEN NAKİT TUTAR</v>
      </c>
      <c r="B62" s="64">
        <f>'17'!$D$34</f>
        <v>0</v>
      </c>
      <c r="C62" s="64">
        <f>'18'!$D$34</f>
        <v>0</v>
      </c>
      <c r="D62" s="64">
        <f>'19'!$D$34</f>
        <v>0</v>
      </c>
      <c r="E62" s="64">
        <f>'20'!$D$34</f>
        <v>0</v>
      </c>
      <c r="F62" s="64">
        <f>'21'!$D$34</f>
        <v>0</v>
      </c>
      <c r="G62" s="64">
        <f>'22'!$D$34</f>
        <v>0</v>
      </c>
      <c r="H62" s="64">
        <f>'23'!$D$34</f>
        <v>0</v>
      </c>
      <c r="I62" s="64">
        <f>'24'!$D$34</f>
        <v>0</v>
      </c>
      <c r="J62" s="64">
        <f>'25'!$D$34</f>
        <v>0</v>
      </c>
      <c r="K62" s="64">
        <f>'26'!$D$34</f>
        <v>0</v>
      </c>
      <c r="L62" s="64">
        <f>'27'!$D$34</f>
        <v>0</v>
      </c>
      <c r="M62" s="64">
        <f>'28'!$D$34</f>
        <v>0</v>
      </c>
      <c r="N62" s="64">
        <f>'29'!$D$34</f>
        <v>0</v>
      </c>
      <c r="O62" s="64">
        <f>'30'!$D$34</f>
        <v>0</v>
      </c>
      <c r="P62" s="64">
        <f>'31'!$D$34</f>
        <v>0</v>
      </c>
      <c r="Q62" s="22">
        <f t="shared" si="7"/>
        <v>-39930</v>
      </c>
      <c r="R62" s="91">
        <f>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-39930</v>
      </c>
      <c r="S62" s="91" t="b">
        <f>Q62=R62</f>
        <v>1</v>
      </c>
    </row>
    <row r="63" spans="1:22" ht="29.4" thickBot="1" x14ac:dyDescent="0.35">
      <c r="A63" s="24" t="str">
        <f>A26</f>
        <v>ÖDENMEZ İKRAM TOPLAMI</v>
      </c>
      <c r="B63" s="65">
        <f>'17'!$E$41</f>
        <v>0</v>
      </c>
      <c r="C63" s="65">
        <f>'18'!$E$41</f>
        <v>0</v>
      </c>
      <c r="D63" s="65">
        <f>'19'!$E$41</f>
        <v>0</v>
      </c>
      <c r="E63" s="65">
        <f>'20'!$E$41</f>
        <v>0</v>
      </c>
      <c r="F63" s="65">
        <f>'21'!$E$41</f>
        <v>0</v>
      </c>
      <c r="G63" s="65">
        <f>'22'!$E$41</f>
        <v>0</v>
      </c>
      <c r="H63" s="65">
        <f>'23'!$E$41</f>
        <v>0</v>
      </c>
      <c r="I63" s="65">
        <f>'24'!$E$41</f>
        <v>0</v>
      </c>
      <c r="J63" s="65">
        <f>'25'!$E$41</f>
        <v>0</v>
      </c>
      <c r="K63" s="65">
        <f>'26'!$E$41</f>
        <v>0</v>
      </c>
      <c r="L63" s="65">
        <f>'27'!$E$41</f>
        <v>0</v>
      </c>
      <c r="M63" s="65">
        <f>'28'!$E$41</f>
        <v>0</v>
      </c>
      <c r="N63" s="65">
        <f>'29'!$E$41</f>
        <v>0</v>
      </c>
      <c r="O63" s="65">
        <f>'30'!$E$41</f>
        <v>0</v>
      </c>
      <c r="P63" s="65">
        <f>'31'!$E$41</f>
        <v>0</v>
      </c>
      <c r="Q63" s="25">
        <f t="shared" si="7"/>
        <v>0</v>
      </c>
    </row>
    <row r="64" spans="1:22" ht="15" thickTop="1" x14ac:dyDescent="0.3">
      <c r="A64" s="37" t="s">
        <v>95</v>
      </c>
      <c r="B64" s="37">
        <f>'17'!$B71</f>
        <v>0</v>
      </c>
      <c r="C64" s="37">
        <f>'18'!$B71</f>
        <v>0</v>
      </c>
      <c r="D64" s="37">
        <f>'19'!$B71</f>
        <v>0</v>
      </c>
      <c r="E64" s="37">
        <f>'20'!$B71</f>
        <v>0</v>
      </c>
      <c r="F64" s="37">
        <f>'21'!$B71</f>
        <v>0</v>
      </c>
      <c r="G64" s="37">
        <f>'22'!$B71</f>
        <v>0</v>
      </c>
      <c r="H64" s="37">
        <f>'23'!$B71</f>
        <v>0</v>
      </c>
      <c r="I64" s="37">
        <f>'24'!$B71</f>
        <v>0</v>
      </c>
      <c r="J64" s="37">
        <f>'25'!$B71</f>
        <v>0</v>
      </c>
      <c r="K64" s="37">
        <f>'26'!$B71</f>
        <v>0</v>
      </c>
      <c r="L64" s="37">
        <f>'27'!$B71</f>
        <v>0</v>
      </c>
      <c r="M64" s="37">
        <f>'28'!$B71</f>
        <v>0</v>
      </c>
      <c r="N64" s="37">
        <f>'29'!$B71</f>
        <v>0</v>
      </c>
      <c r="O64" s="37">
        <f>'30'!$B71</f>
        <v>0</v>
      </c>
      <c r="P64" s="37">
        <f>'31'!$B71</f>
        <v>0</v>
      </c>
      <c r="Q64" s="36">
        <f t="shared" si="7"/>
        <v>180000</v>
      </c>
      <c r="R64" s="38">
        <f>Q64/$Q$60</f>
        <v>0.670978323672488</v>
      </c>
      <c r="T64" s="11">
        <f t="shared" ref="T64:T72" si="9">$T$60*R64</f>
        <v>6206549.4939705143</v>
      </c>
    </row>
    <row r="65" spans="1:23" ht="28.8" x14ac:dyDescent="0.3">
      <c r="A65" s="146" t="s">
        <v>96</v>
      </c>
      <c r="B65" s="146">
        <f>'17'!$B72</f>
        <v>0</v>
      </c>
      <c r="C65" s="146">
        <f>'18'!$B72</f>
        <v>0</v>
      </c>
      <c r="D65" s="146">
        <f>'19'!$B72</f>
        <v>0</v>
      </c>
      <c r="E65" s="146">
        <f>'20'!$B72</f>
        <v>0</v>
      </c>
      <c r="F65" s="146">
        <f>'21'!$B72</f>
        <v>0</v>
      </c>
      <c r="G65" s="146">
        <f>'22'!$B72</f>
        <v>0</v>
      </c>
      <c r="H65" s="146">
        <f>'23'!$B72</f>
        <v>0</v>
      </c>
      <c r="I65" s="146">
        <f>'24'!$B72</f>
        <v>0</v>
      </c>
      <c r="J65" s="146">
        <f>'25'!$B72</f>
        <v>0</v>
      </c>
      <c r="K65" s="146">
        <f>'26'!$B72</f>
        <v>0</v>
      </c>
      <c r="L65" s="146">
        <f>'27'!$B72</f>
        <v>0</v>
      </c>
      <c r="M65" s="146">
        <f>'28'!$B72</f>
        <v>0</v>
      </c>
      <c r="N65" s="146">
        <f>'29'!$B72</f>
        <v>0</v>
      </c>
      <c r="O65" s="146">
        <f>'30'!$B72</f>
        <v>0</v>
      </c>
      <c r="P65" s="146">
        <f>'31'!$B72</f>
        <v>0</v>
      </c>
      <c r="Q65" s="148">
        <f t="shared" si="7"/>
        <v>0</v>
      </c>
      <c r="R65" s="38">
        <f t="shared" ref="R65:R74" si="10">Q65/$Q$60</f>
        <v>0</v>
      </c>
    </row>
    <row r="66" spans="1:23" ht="15" thickBot="1" x14ac:dyDescent="0.35">
      <c r="A66" s="162" t="s">
        <v>97</v>
      </c>
      <c r="B66" s="162">
        <f>'17'!$B73</f>
        <v>0</v>
      </c>
      <c r="C66" s="162">
        <f>'18'!$B73</f>
        <v>0</v>
      </c>
      <c r="D66" s="162">
        <f>'19'!$B73</f>
        <v>0</v>
      </c>
      <c r="E66" s="162">
        <f>'20'!$B73</f>
        <v>0</v>
      </c>
      <c r="F66" s="162">
        <f>'21'!$B73</f>
        <v>0</v>
      </c>
      <c r="G66" s="162">
        <f>'22'!$B73</f>
        <v>0</v>
      </c>
      <c r="H66" s="162">
        <f>'23'!$B73</f>
        <v>0</v>
      </c>
      <c r="I66" s="162">
        <f>'24'!$B73</f>
        <v>0</v>
      </c>
      <c r="J66" s="162">
        <f>'25'!$B73</f>
        <v>0</v>
      </c>
      <c r="K66" s="162">
        <f>'26'!$B73</f>
        <v>0</v>
      </c>
      <c r="L66" s="162">
        <f>'27'!$B73</f>
        <v>0</v>
      </c>
      <c r="M66" s="162">
        <f>'28'!$B73</f>
        <v>0</v>
      </c>
      <c r="N66" s="162">
        <f>'29'!$B73</f>
        <v>0</v>
      </c>
      <c r="O66" s="162">
        <f>'30'!$B73</f>
        <v>0</v>
      </c>
      <c r="P66" s="162">
        <f>'31'!$B73</f>
        <v>0</v>
      </c>
      <c r="Q66" s="163">
        <f t="shared" si="7"/>
        <v>0</v>
      </c>
      <c r="R66" s="38">
        <f t="shared" si="10"/>
        <v>0</v>
      </c>
    </row>
    <row r="67" spans="1:23" ht="15" thickTop="1" x14ac:dyDescent="0.3">
      <c r="A67" s="146" t="str">
        <f t="shared" ref="A67:A72" si="11">A30</f>
        <v>YEMEK GİDERİ</v>
      </c>
      <c r="B67" s="146">
        <f>'17'!$B74</f>
        <v>0</v>
      </c>
      <c r="C67" s="146">
        <f>'18'!$B74</f>
        <v>0</v>
      </c>
      <c r="D67" s="146">
        <f>'19'!$B74</f>
        <v>0</v>
      </c>
      <c r="E67" s="146">
        <f>'20'!$B74</f>
        <v>0</v>
      </c>
      <c r="F67" s="146">
        <f>'21'!$B74</f>
        <v>0</v>
      </c>
      <c r="G67" s="146">
        <f>'22'!$B74</f>
        <v>0</v>
      </c>
      <c r="H67" s="146">
        <f>'23'!$B74</f>
        <v>0</v>
      </c>
      <c r="I67" s="146">
        <f>'24'!$B74</f>
        <v>0</v>
      </c>
      <c r="J67" s="146">
        <f>'25'!$B74</f>
        <v>0</v>
      </c>
      <c r="K67" s="146">
        <f>'26'!$B74</f>
        <v>0</v>
      </c>
      <c r="L67" s="146">
        <f>'27'!$B74</f>
        <v>0</v>
      </c>
      <c r="M67" s="146">
        <f>'28'!$B74</f>
        <v>0</v>
      </c>
      <c r="N67" s="146">
        <f>'29'!$B74</f>
        <v>0</v>
      </c>
      <c r="O67" s="146">
        <f>'30'!$B74</f>
        <v>0</v>
      </c>
      <c r="P67" s="146">
        <f>'31'!$B74</f>
        <v>0</v>
      </c>
      <c r="Q67" s="148">
        <f t="shared" si="7"/>
        <v>47520</v>
      </c>
      <c r="R67" s="38">
        <f t="shared" si="10"/>
        <v>0.17713827744953684</v>
      </c>
      <c r="T67" s="11">
        <f t="shared" si="9"/>
        <v>1638529.0664082158</v>
      </c>
    </row>
    <row r="68" spans="1:23" x14ac:dyDescent="0.3">
      <c r="A68" s="21" t="str">
        <f t="shared" si="11"/>
        <v>İÇECEK KDV Sİ</v>
      </c>
      <c r="B68" s="21">
        <f>'17'!$B75</f>
        <v>0</v>
      </c>
      <c r="C68" s="21">
        <f>'18'!$B75</f>
        <v>0</v>
      </c>
      <c r="D68" s="21">
        <f>'19'!$B75</f>
        <v>0</v>
      </c>
      <c r="E68" s="21">
        <f>'20'!$B75</f>
        <v>0</v>
      </c>
      <c r="F68" s="21">
        <f>'21'!$B75</f>
        <v>0</v>
      </c>
      <c r="G68" s="21">
        <f>'22'!$B75</f>
        <v>0</v>
      </c>
      <c r="H68" s="21">
        <f>'23'!$B75</f>
        <v>0</v>
      </c>
      <c r="I68" s="21">
        <f>'24'!$B75</f>
        <v>0</v>
      </c>
      <c r="J68" s="21">
        <f>'25'!$B75</f>
        <v>0</v>
      </c>
      <c r="K68" s="21">
        <f>'26'!$B75</f>
        <v>0</v>
      </c>
      <c r="L68" s="21">
        <f>'27'!$B75</f>
        <v>0</v>
      </c>
      <c r="M68" s="21">
        <f>'28'!$B75</f>
        <v>0</v>
      </c>
      <c r="N68" s="21">
        <f>'29'!$B75</f>
        <v>0</v>
      </c>
      <c r="O68" s="21">
        <f>'30'!$B75</f>
        <v>0</v>
      </c>
      <c r="P68" s="21">
        <f>'31'!$B75</f>
        <v>0</v>
      </c>
      <c r="Q68" s="22">
        <f t="shared" si="7"/>
        <v>4646.1847039999993</v>
      </c>
      <c r="R68" s="38">
        <f t="shared" si="10"/>
        <v>1.7319384578681526E-2</v>
      </c>
      <c r="T68" s="11">
        <f t="shared" si="9"/>
        <v>160204.30735280411</v>
      </c>
    </row>
    <row r="69" spans="1:23" ht="28.8" x14ac:dyDescent="0.3">
      <c r="A69" s="21" t="str">
        <f t="shared" si="11"/>
        <v>%10 SERVİS ÜCRETİ ÖDENECEK TUTAR</v>
      </c>
      <c r="B69" s="21">
        <f>'17'!$B76</f>
        <v>0</v>
      </c>
      <c r="C69" s="21">
        <f>'18'!$B76</f>
        <v>0</v>
      </c>
      <c r="D69" s="21">
        <f>'19'!$B76</f>
        <v>0</v>
      </c>
      <c r="E69" s="21">
        <f>'20'!$B76</f>
        <v>0</v>
      </c>
      <c r="F69" s="21">
        <f>'21'!$B76</f>
        <v>0</v>
      </c>
      <c r="G69" s="21">
        <f>'22'!$B76</f>
        <v>0</v>
      </c>
      <c r="H69" s="21">
        <f>'23'!$B76</f>
        <v>0</v>
      </c>
      <c r="I69" s="21">
        <f>'24'!$B76</f>
        <v>0</v>
      </c>
      <c r="J69" s="21">
        <f>'25'!$B76</f>
        <v>0</v>
      </c>
      <c r="K69" s="21">
        <f>'26'!$B76</f>
        <v>0</v>
      </c>
      <c r="L69" s="21">
        <f>'27'!$B76</f>
        <v>0</v>
      </c>
      <c r="M69" s="21">
        <f>'28'!$B76</f>
        <v>0</v>
      </c>
      <c r="N69" s="21">
        <f>'29'!$B76</f>
        <v>0</v>
      </c>
      <c r="O69" s="21">
        <f>'30'!$B76</f>
        <v>0</v>
      </c>
      <c r="P69" s="21">
        <f>'31'!$B76</f>
        <v>0</v>
      </c>
      <c r="Q69" s="22">
        <f t="shared" si="7"/>
        <v>0</v>
      </c>
      <c r="R69" s="38">
        <f t="shared" si="10"/>
        <v>0</v>
      </c>
      <c r="S69" s="23"/>
      <c r="T69" s="11">
        <f t="shared" si="9"/>
        <v>0</v>
      </c>
      <c r="U69" s="11">
        <f>'1'!I84+'2'!I84+'3'!I84+'4'!I84+'5'!I84+'6'!I84+'7'!I84+'8'!I84+'9'!I84+'10'!I84+'11'!I84+'12'!I84+'13'!I84+'14'!I84+'15'!I84+'16'!I84+'17'!I84+'18'!I84+'19'!I84+'20'!I84+'21'!I84+'22'!I84+'23'!I84+'24'!I84+'25'!I84+'26'!I84+'27'!I84+'28'!I84+'29'!I84+'30'!I84+'31'!I84</f>
        <v>0</v>
      </c>
      <c r="V69" s="23">
        <f>U69-Q69</f>
        <v>0</v>
      </c>
      <c r="W69" s="23" t="e">
        <f>V69/U69</f>
        <v>#DIV/0!</v>
      </c>
    </row>
    <row r="70" spans="1:23" ht="28.8" x14ac:dyDescent="0.3">
      <c r="A70" s="21" t="str">
        <f t="shared" si="11"/>
        <v>İÇECEK SATIŞ VE ÖDENMEZ MALİYETİ</v>
      </c>
      <c r="B70" s="21">
        <f>'17'!$B77</f>
        <v>0</v>
      </c>
      <c r="C70" s="21">
        <f>'18'!$B77</f>
        <v>0</v>
      </c>
      <c r="D70" s="21">
        <f>'19'!$B77</f>
        <v>0</v>
      </c>
      <c r="E70" s="21">
        <f>'20'!$B77</f>
        <v>0</v>
      </c>
      <c r="F70" s="21">
        <f>'21'!$B77</f>
        <v>0</v>
      </c>
      <c r="G70" s="21">
        <f>'22'!$B77</f>
        <v>0</v>
      </c>
      <c r="H70" s="21">
        <f>'23'!$B77</f>
        <v>0</v>
      </c>
      <c r="I70" s="21">
        <f>'24'!$B77</f>
        <v>0</v>
      </c>
      <c r="J70" s="21">
        <f>'25'!$B77</f>
        <v>0</v>
      </c>
      <c r="K70" s="21">
        <f>'26'!$B77</f>
        <v>0</v>
      </c>
      <c r="L70" s="21">
        <f>'27'!$B77</f>
        <v>0</v>
      </c>
      <c r="M70" s="21">
        <f>'28'!$B77</f>
        <v>0</v>
      </c>
      <c r="N70" s="21">
        <f>'29'!$B77</f>
        <v>0</v>
      </c>
      <c r="O70" s="21">
        <f>'30'!$B77</f>
        <v>0</v>
      </c>
      <c r="P70" s="21">
        <f>'31'!$B77</f>
        <v>0</v>
      </c>
      <c r="Q70" s="21">
        <f t="shared" si="7"/>
        <v>29631.279999999999</v>
      </c>
      <c r="R70" s="38">
        <f t="shared" si="10"/>
        <v>0.11045525879261178</v>
      </c>
      <c r="T70" s="11">
        <f t="shared" si="9"/>
        <v>1021711.143831659</v>
      </c>
      <c r="V70" s="11">
        <f>19995.97+816.3</f>
        <v>20812.27</v>
      </c>
    </row>
    <row r="71" spans="1:23" ht="28.8" x14ac:dyDescent="0.3">
      <c r="A71" s="21" t="str">
        <f t="shared" si="11"/>
        <v>GÜNLÜK KASADAN HARCAMALAR TOPLAMI</v>
      </c>
      <c r="B71" s="21">
        <f>'17'!$B78</f>
        <v>0</v>
      </c>
      <c r="C71" s="21">
        <f>'18'!$B78</f>
        <v>0</v>
      </c>
      <c r="D71" s="21">
        <f>'19'!$B78</f>
        <v>0</v>
      </c>
      <c r="E71" s="21">
        <f>'20'!$B78</f>
        <v>0</v>
      </c>
      <c r="F71" s="21">
        <f>'21'!$B78</f>
        <v>0</v>
      </c>
      <c r="G71" s="21">
        <f>'22'!$B78</f>
        <v>0</v>
      </c>
      <c r="H71" s="21">
        <f>'23'!$B78</f>
        <v>0</v>
      </c>
      <c r="I71" s="21">
        <f>'24'!$B78</f>
        <v>0</v>
      </c>
      <c r="J71" s="21">
        <f>'25'!$B78</f>
        <v>0</v>
      </c>
      <c r="K71" s="21">
        <f>'26'!$B78</f>
        <v>0</v>
      </c>
      <c r="L71" s="21">
        <f>'27'!$B78</f>
        <v>0</v>
      </c>
      <c r="M71" s="21">
        <f>'28'!$B78</f>
        <v>0</v>
      </c>
      <c r="N71" s="21">
        <f>'29'!$B78</f>
        <v>0</v>
      </c>
      <c r="O71" s="21">
        <f>'30'!$B78</f>
        <v>0</v>
      </c>
      <c r="P71" s="21">
        <f>'31'!$B78</f>
        <v>0</v>
      </c>
      <c r="Q71" s="21">
        <f t="shared" si="7"/>
        <v>25530</v>
      </c>
      <c r="R71" s="38">
        <f t="shared" si="10"/>
        <v>9.5167092240881213E-2</v>
      </c>
      <c r="T71" s="11">
        <f t="shared" ref="T71" si="12">$T$60*R71</f>
        <v>880295.60322815122</v>
      </c>
      <c r="V71" s="11">
        <f>19995.97+816.3</f>
        <v>20812.27</v>
      </c>
    </row>
    <row r="72" spans="1:23" ht="15" thickBot="1" x14ac:dyDescent="0.35">
      <c r="A72" s="24" t="str">
        <f t="shared" si="11"/>
        <v>PERSONEL YEMEK GİDERİ</v>
      </c>
      <c r="B72" s="24">
        <f>'17'!$B79</f>
        <v>0</v>
      </c>
      <c r="C72" s="24">
        <f>'18'!$B79</f>
        <v>0</v>
      </c>
      <c r="D72" s="24">
        <f>'19'!$B79</f>
        <v>0</v>
      </c>
      <c r="E72" s="24">
        <f>'20'!$B79</f>
        <v>0</v>
      </c>
      <c r="F72" s="24">
        <f>'21'!$B79</f>
        <v>0</v>
      </c>
      <c r="G72" s="24">
        <f>'22'!$B79</f>
        <v>0</v>
      </c>
      <c r="H72" s="24">
        <f>'23'!$B79</f>
        <v>0</v>
      </c>
      <c r="I72" s="24">
        <f>'24'!$B79</f>
        <v>0</v>
      </c>
      <c r="J72" s="24">
        <f>'25'!$B79</f>
        <v>0</v>
      </c>
      <c r="K72" s="24">
        <f>'26'!$B79</f>
        <v>0</v>
      </c>
      <c r="L72" s="24">
        <f>'27'!$B79</f>
        <v>0</v>
      </c>
      <c r="M72" s="24">
        <f>'28'!$B79</f>
        <v>0</v>
      </c>
      <c r="N72" s="24">
        <f>'29'!$B79</f>
        <v>0</v>
      </c>
      <c r="O72" s="24">
        <f>'30'!$B79</f>
        <v>0</v>
      </c>
      <c r="P72" s="24">
        <f>'31'!$B79</f>
        <v>0</v>
      </c>
      <c r="Q72" s="24">
        <f t="shared" si="7"/>
        <v>9900</v>
      </c>
      <c r="R72" s="38">
        <f t="shared" si="10"/>
        <v>3.6903807801986842E-2</v>
      </c>
      <c r="T72" s="11">
        <f t="shared" si="9"/>
        <v>341360.2221683783</v>
      </c>
      <c r="V72" s="11">
        <f>19995.97+816.3</f>
        <v>20812.27</v>
      </c>
    </row>
    <row r="73" spans="1:23" ht="15.6" thickTop="1" thickBot="1" x14ac:dyDescent="0.35">
      <c r="A73" s="4" t="s">
        <v>30</v>
      </c>
      <c r="B73" s="67">
        <f t="shared" ref="B73:P73" si="13">SUM(B64:B72)</f>
        <v>0</v>
      </c>
      <c r="C73" s="67">
        <f t="shared" si="13"/>
        <v>0</v>
      </c>
      <c r="D73" s="67">
        <f t="shared" si="13"/>
        <v>0</v>
      </c>
      <c r="E73" s="67">
        <f t="shared" si="13"/>
        <v>0</v>
      </c>
      <c r="F73" s="67">
        <f t="shared" si="13"/>
        <v>0</v>
      </c>
      <c r="G73" s="67">
        <f t="shared" si="13"/>
        <v>0</v>
      </c>
      <c r="H73" s="67">
        <f t="shared" si="13"/>
        <v>0</v>
      </c>
      <c r="I73" s="67">
        <f t="shared" si="13"/>
        <v>0</v>
      </c>
      <c r="J73" s="67">
        <f t="shared" si="13"/>
        <v>0</v>
      </c>
      <c r="K73" s="67">
        <f t="shared" si="13"/>
        <v>0</v>
      </c>
      <c r="L73" s="67">
        <f t="shared" si="13"/>
        <v>0</v>
      </c>
      <c r="M73" s="67">
        <f t="shared" si="13"/>
        <v>0</v>
      </c>
      <c r="N73" s="67">
        <f t="shared" si="13"/>
        <v>0</v>
      </c>
      <c r="O73" s="67">
        <f t="shared" si="13"/>
        <v>0</v>
      </c>
      <c r="P73" s="67">
        <f t="shared" si="13"/>
        <v>0</v>
      </c>
      <c r="Q73" s="35">
        <f>SUM(Q64:Q72)</f>
        <v>297227.46470400004</v>
      </c>
      <c r="R73" s="38">
        <f t="shared" si="10"/>
        <v>1.1079621445361865</v>
      </c>
      <c r="S73" s="11">
        <f>Q73/Q60</f>
        <v>1.1079621445361865</v>
      </c>
      <c r="T73" s="11">
        <v>2</v>
      </c>
    </row>
    <row r="74" spans="1:23" ht="15.6" thickTop="1" thickBot="1" x14ac:dyDescent="0.35">
      <c r="A74" s="40" t="s">
        <v>31</v>
      </c>
      <c r="B74" s="133">
        <f>B60-B73</f>
        <v>0</v>
      </c>
      <c r="C74" s="133">
        <f t="shared" ref="C74" si="14">C60-C73</f>
        <v>0</v>
      </c>
      <c r="D74" s="133">
        <f t="shared" ref="D74" si="15">D60-D73</f>
        <v>0</v>
      </c>
      <c r="E74" s="133">
        <f t="shared" ref="E74" si="16">E60-E73</f>
        <v>0</v>
      </c>
      <c r="F74" s="133">
        <f t="shared" ref="F74" si="17">F60-F73</f>
        <v>0</v>
      </c>
      <c r="G74" s="133">
        <f t="shared" ref="G74" si="18">G60-G73</f>
        <v>0</v>
      </c>
      <c r="H74" s="133">
        <f t="shared" ref="H74" si="19">H60-H73</f>
        <v>0</v>
      </c>
      <c r="I74" s="133">
        <f t="shared" ref="I74" si="20">I60-I73</f>
        <v>0</v>
      </c>
      <c r="J74" s="133">
        <f t="shared" ref="J74" si="21">J60-J73</f>
        <v>0</v>
      </c>
      <c r="K74" s="133">
        <f t="shared" ref="K74" si="22">K60-K73</f>
        <v>0</v>
      </c>
      <c r="L74" s="133">
        <f t="shared" ref="L74" si="23">L60-L73</f>
        <v>0</v>
      </c>
      <c r="M74" s="133">
        <f t="shared" ref="M74" si="24">M60-M73</f>
        <v>0</v>
      </c>
      <c r="N74" s="133">
        <f t="shared" ref="N74" si="25">N60-N73</f>
        <v>0</v>
      </c>
      <c r="O74" s="133">
        <f t="shared" ref="O74" si="26">O60-O73</f>
        <v>0</v>
      </c>
      <c r="P74" s="133">
        <f t="shared" ref="P74" si="27">P60-P73</f>
        <v>0</v>
      </c>
      <c r="Q74" s="41">
        <f>SUM(B37:Q37)+SUM(B74:P74)</f>
        <v>-28962.464704000042</v>
      </c>
      <c r="R74" s="38">
        <f t="shared" si="10"/>
        <v>-0.10796214453618638</v>
      </c>
      <c r="T74" s="11">
        <v>3088.89</v>
      </c>
    </row>
    <row r="75" spans="1:23" ht="15.6" thickTop="1" thickBot="1" x14ac:dyDescent="0.35">
      <c r="N75" s="313" t="s">
        <v>36</v>
      </c>
      <c r="O75" s="313"/>
      <c r="P75" s="313"/>
      <c r="Q75" s="42">
        <f>'1'!I84+'2'!I84+'3'!I84+'4'!I84+'5'!I84+'6'!I84+'7'!I84+'8'!I84+'9'!I84+'10'!I84+'11'!I84+'12'!I84+'13'!I84+'14'!I84+'15'!I84+'16'!I84+'17'!I84+'18'!I84+'19'!I84+'20'!I84+'21'!I84+'22'!I84+'23'!I84+'24'!I84+'25'!I84+'26'!I84+'27'!I84+'28'!I84+'29'!I84+'30'!I84+'31'!I84</f>
        <v>0</v>
      </c>
      <c r="T75" s="11">
        <v>44623.35</v>
      </c>
    </row>
    <row r="76" spans="1:23" ht="15" thickTop="1" x14ac:dyDescent="0.3">
      <c r="T76" s="11">
        <f>SUM(T74:T75)</f>
        <v>47712.24</v>
      </c>
    </row>
    <row r="77" spans="1:23" x14ac:dyDescent="0.3">
      <c r="T77" s="23">
        <f>T76-Q70</f>
        <v>18080.96</v>
      </c>
    </row>
    <row r="78" spans="1:23" x14ac:dyDescent="0.3">
      <c r="C78" s="23">
        <f>C73+C61</f>
        <v>0</v>
      </c>
    </row>
    <row r="79" spans="1:23" ht="15" thickBot="1" x14ac:dyDescent="0.35">
      <c r="Q79" s="23">
        <f>Q75*0.6</f>
        <v>0</v>
      </c>
    </row>
    <row r="80" spans="1:23" ht="15.6" thickTop="1" thickBot="1" x14ac:dyDescent="0.35">
      <c r="P80" s="90" t="s">
        <v>40</v>
      </c>
      <c r="Q80" s="41">
        <f>Q60/Q40</f>
        <v>5961.4444444444443</v>
      </c>
    </row>
    <row r="81" spans="16:17" ht="15.6" thickTop="1" thickBot="1" x14ac:dyDescent="0.35">
      <c r="P81" s="90" t="s">
        <v>41</v>
      </c>
      <c r="Q81" s="41">
        <f>Q73/Q40</f>
        <v>6605.0547712000007</v>
      </c>
    </row>
    <row r="82" spans="16:17" ht="15" thickTop="1" x14ac:dyDescent="0.3">
      <c r="Q82" s="23"/>
    </row>
    <row r="85" spans="16:17" x14ac:dyDescent="0.3">
      <c r="Q85" s="23"/>
    </row>
    <row r="86" spans="16:17" x14ac:dyDescent="0.3">
      <c r="Q86" s="23"/>
    </row>
    <row r="87" spans="16:17" ht="15" thickBot="1" x14ac:dyDescent="0.35"/>
    <row r="88" spans="16:17" ht="30" thickTop="1" thickBot="1" x14ac:dyDescent="0.35">
      <c r="P88" s="122" t="s">
        <v>76</v>
      </c>
      <c r="Q88" s="123">
        <f>(Q70+Q68)/Q40</f>
        <v>761.72143786666663</v>
      </c>
    </row>
    <row r="89" spans="16:17" ht="44.4" thickTop="1" thickBot="1" x14ac:dyDescent="0.35">
      <c r="P89" s="122" t="s">
        <v>77</v>
      </c>
      <c r="Q89" s="123">
        <f>(Q64+Q65+Q66)/Q40</f>
        <v>4000</v>
      </c>
    </row>
    <row r="90" spans="16:17" ht="15" thickTop="1" x14ac:dyDescent="0.3"/>
    <row r="92" spans="16:17" x14ac:dyDescent="0.3">
      <c r="Q92" s="11">
        <v>493918.23</v>
      </c>
    </row>
    <row r="93" spans="16:17" x14ac:dyDescent="0.3">
      <c r="Q93" s="23">
        <f>Q92-Q70</f>
        <v>464286.94999999995</v>
      </c>
    </row>
  </sheetData>
  <mergeCells count="3">
    <mergeCell ref="A1:Q1"/>
    <mergeCell ref="N75:P75"/>
    <mergeCell ref="R60:S60"/>
  </mergeCells>
  <pageMargins left="0.70866141732283472" right="0.70866141732283472" top="0.15748031496062992" bottom="0.15748031496062992" header="0.31496062992125984" footer="0.31496062992125984"/>
  <pageSetup paperSize="9"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13"/>
  <sheetViews>
    <sheetView workbookViewId="0">
      <selection activeCell="E9" sqref="E9"/>
    </sheetView>
  </sheetViews>
  <sheetFormatPr defaultColWidth="8.77734375" defaultRowHeight="14.4" x14ac:dyDescent="0.3"/>
  <cols>
    <col min="1" max="1" width="10.109375" style="92" bestFit="1" customWidth="1"/>
    <col min="2" max="2" width="49.109375" style="48" bestFit="1" customWidth="1"/>
    <col min="3" max="3" width="14.109375" style="50" customWidth="1"/>
    <col min="4" max="4" width="16.5546875" style="48" customWidth="1"/>
  </cols>
  <sheetData>
    <row r="1" spans="1:5" ht="15" thickBot="1" x14ac:dyDescent="0.35">
      <c r="A1" s="316" t="s">
        <v>145</v>
      </c>
      <c r="B1" s="316"/>
      <c r="C1" s="316"/>
    </row>
    <row r="2" spans="1:5" ht="15.6" thickTop="1" thickBot="1" x14ac:dyDescent="0.35">
      <c r="A2" s="108" t="s">
        <v>61</v>
      </c>
      <c r="B2" s="94" t="s">
        <v>7</v>
      </c>
      <c r="C2" s="99" t="s">
        <v>8</v>
      </c>
      <c r="E2">
        <f>D4+D5+D6+D7+D8+D9+D10+D11</f>
        <v>0</v>
      </c>
    </row>
    <row r="3" spans="1:5" ht="15" thickTop="1" x14ac:dyDescent="0.3">
      <c r="A3" s="109">
        <f>'1'!$A$1</f>
        <v>46174</v>
      </c>
      <c r="B3" s="110">
        <f>'1'!$B$21</f>
        <v>0</v>
      </c>
      <c r="C3" s="111">
        <f>'1'!$D$21</f>
        <v>0</v>
      </c>
    </row>
    <row r="4" spans="1:5" x14ac:dyDescent="0.3">
      <c r="A4" s="104">
        <f>'1'!$A$1</f>
        <v>46174</v>
      </c>
      <c r="B4" s="105">
        <f>'1'!$B$22</f>
        <v>0</v>
      </c>
      <c r="C4" s="68">
        <f>'1'!$D$22</f>
        <v>0</v>
      </c>
    </row>
    <row r="5" spans="1:5" x14ac:dyDescent="0.3">
      <c r="A5" s="104">
        <f>'1'!$A$1</f>
        <v>46174</v>
      </c>
      <c r="B5" s="105">
        <f>'1'!$B$23</f>
        <v>0</v>
      </c>
      <c r="C5" s="68">
        <f>'1'!$D$23</f>
        <v>0</v>
      </c>
    </row>
    <row r="6" spans="1:5" x14ac:dyDescent="0.3">
      <c r="A6" s="104">
        <f>'1'!$A$1</f>
        <v>46174</v>
      </c>
      <c r="B6" s="105">
        <f>'1'!$B$24</f>
        <v>0</v>
      </c>
      <c r="C6" s="68">
        <f>'1'!$D$24</f>
        <v>0</v>
      </c>
    </row>
    <row r="7" spans="1:5" x14ac:dyDescent="0.3">
      <c r="A7" s="104">
        <f>'1'!$A$1</f>
        <v>46174</v>
      </c>
      <c r="B7" s="105">
        <f>'1'!$B$25</f>
        <v>0</v>
      </c>
      <c r="C7" s="68">
        <f>'1'!$D$25</f>
        <v>0</v>
      </c>
    </row>
    <row r="8" spans="1:5" x14ac:dyDescent="0.3">
      <c r="A8" s="104">
        <f>'1'!$A$1</f>
        <v>46174</v>
      </c>
      <c r="B8" s="105">
        <f>'1'!$B$26</f>
        <v>0</v>
      </c>
      <c r="C8" s="68">
        <f>'1'!$D$26</f>
        <v>0</v>
      </c>
    </row>
    <row r="9" spans="1:5" x14ac:dyDescent="0.3">
      <c r="A9" s="104">
        <f>'1'!$A$1</f>
        <v>46174</v>
      </c>
      <c r="B9" s="105">
        <f>'1'!$B$27</f>
        <v>0</v>
      </c>
      <c r="C9" s="68">
        <f>'1'!$D$27</f>
        <v>0</v>
      </c>
    </row>
    <row r="10" spans="1:5" x14ac:dyDescent="0.3">
      <c r="A10" s="104">
        <f>'1'!$A$1</f>
        <v>46174</v>
      </c>
      <c r="B10" s="105">
        <f>'1'!$B$28</f>
        <v>0</v>
      </c>
      <c r="C10" s="68">
        <f>'1'!$D$28</f>
        <v>0</v>
      </c>
    </row>
    <row r="11" spans="1:5" x14ac:dyDescent="0.3">
      <c r="A11" s="104">
        <f>'1'!$A$1</f>
        <v>46174</v>
      </c>
      <c r="B11" s="105">
        <f>'1'!$B$29</f>
        <v>0</v>
      </c>
      <c r="C11" s="68">
        <f>'1'!$D$29</f>
        <v>0</v>
      </c>
    </row>
    <row r="12" spans="1:5" x14ac:dyDescent="0.3">
      <c r="A12" s="104">
        <f>'1'!$A$1</f>
        <v>46174</v>
      </c>
      <c r="B12" s="105">
        <f>'1'!$B$30</f>
        <v>0</v>
      </c>
      <c r="C12" s="68">
        <f>'1'!$D$30</f>
        <v>0</v>
      </c>
    </row>
    <row r="13" spans="1:5" x14ac:dyDescent="0.3">
      <c r="A13" s="104">
        <f>'1'!$A$1</f>
        <v>46174</v>
      </c>
      <c r="B13" s="105">
        <f>'1'!$B$31</f>
        <v>0</v>
      </c>
      <c r="C13" s="68">
        <f>'1'!$D$31</f>
        <v>0</v>
      </c>
    </row>
    <row r="14" spans="1:5" x14ac:dyDescent="0.3">
      <c r="A14" s="104">
        <f>'1'!$A$1</f>
        <v>46174</v>
      </c>
      <c r="B14" s="105">
        <f>'1'!$B$32</f>
        <v>0</v>
      </c>
      <c r="C14" s="68">
        <f>'1'!$D$32</f>
        <v>0</v>
      </c>
    </row>
    <row r="15" spans="1:5" x14ac:dyDescent="0.3">
      <c r="A15" s="104">
        <f>'1'!$A$1</f>
        <v>46174</v>
      </c>
      <c r="B15" s="105">
        <f>'1'!$B$33</f>
        <v>0</v>
      </c>
      <c r="C15" s="68">
        <f>'1'!$D$33</f>
        <v>0</v>
      </c>
    </row>
    <row r="16" spans="1:5" x14ac:dyDescent="0.3">
      <c r="A16" s="104">
        <f>'2'!$A$1</f>
        <v>46175</v>
      </c>
      <c r="B16" s="105">
        <f>'2'!$B$21</f>
        <v>0</v>
      </c>
      <c r="C16" s="68">
        <f>'2'!$D$21</f>
        <v>0</v>
      </c>
    </row>
    <row r="17" spans="1:3" x14ac:dyDescent="0.3">
      <c r="A17" s="104">
        <f>'2'!$A$1</f>
        <v>46175</v>
      </c>
      <c r="B17" s="105">
        <f>'2'!$B$22</f>
        <v>0</v>
      </c>
      <c r="C17" s="68">
        <f>'2'!$D$22</f>
        <v>0</v>
      </c>
    </row>
    <row r="18" spans="1:3" x14ac:dyDescent="0.3">
      <c r="A18" s="104">
        <f>'2'!$A$1</f>
        <v>46175</v>
      </c>
      <c r="B18" s="105">
        <f>'2'!$B$23</f>
        <v>0</v>
      </c>
      <c r="C18" s="68">
        <f>'2'!$D$23</f>
        <v>0</v>
      </c>
    </row>
    <row r="19" spans="1:3" x14ac:dyDescent="0.3">
      <c r="A19" s="104">
        <f>'2'!$A$1</f>
        <v>46175</v>
      </c>
      <c r="B19" s="105">
        <f>'2'!$B$24</f>
        <v>0</v>
      </c>
      <c r="C19" s="68">
        <f>'2'!$D$24</f>
        <v>0</v>
      </c>
    </row>
    <row r="20" spans="1:3" x14ac:dyDescent="0.3">
      <c r="A20" s="104">
        <f>'2'!$A$1</f>
        <v>46175</v>
      </c>
      <c r="B20" s="105">
        <f>'2'!$B$25</f>
        <v>0</v>
      </c>
      <c r="C20" s="68">
        <f>'2'!$D$25</f>
        <v>0</v>
      </c>
    </row>
    <row r="21" spans="1:3" x14ac:dyDescent="0.3">
      <c r="A21" s="104">
        <f>'2'!$A$1</f>
        <v>46175</v>
      </c>
      <c r="B21" s="105">
        <f>'2'!$B$26</f>
        <v>0</v>
      </c>
      <c r="C21" s="68">
        <f>'2'!$D$26</f>
        <v>0</v>
      </c>
    </row>
    <row r="22" spans="1:3" x14ac:dyDescent="0.3">
      <c r="A22" s="104">
        <f>'2'!$A$1</f>
        <v>46175</v>
      </c>
      <c r="B22" s="105">
        <f>'2'!$B$27</f>
        <v>0</v>
      </c>
      <c r="C22" s="68">
        <f>'2'!$D$27</f>
        <v>0</v>
      </c>
    </row>
    <row r="23" spans="1:3" x14ac:dyDescent="0.3">
      <c r="A23" s="104">
        <f>'2'!$A$1</f>
        <v>46175</v>
      </c>
      <c r="B23" s="105">
        <f>'2'!$B$28</f>
        <v>0</v>
      </c>
      <c r="C23" s="68">
        <f>'2'!$D$28</f>
        <v>0</v>
      </c>
    </row>
    <row r="24" spans="1:3" x14ac:dyDescent="0.3">
      <c r="A24" s="104">
        <f>'2'!$A$1</f>
        <v>46175</v>
      </c>
      <c r="B24" s="105">
        <f>'2'!$B$29</f>
        <v>0</v>
      </c>
      <c r="C24" s="68">
        <f>'2'!$D$29</f>
        <v>0</v>
      </c>
    </row>
    <row r="25" spans="1:3" x14ac:dyDescent="0.3">
      <c r="A25" s="104">
        <f>'2'!$A$1</f>
        <v>46175</v>
      </c>
      <c r="B25" s="105">
        <f>'2'!$B$30</f>
        <v>0</v>
      </c>
      <c r="C25" s="68">
        <f>'2'!$D$30</f>
        <v>0</v>
      </c>
    </row>
    <row r="26" spans="1:3" x14ac:dyDescent="0.3">
      <c r="A26" s="104">
        <f>'2'!$A$1</f>
        <v>46175</v>
      </c>
      <c r="B26" s="105">
        <f>'2'!$B$31</f>
        <v>0</v>
      </c>
      <c r="C26" s="68">
        <f>'2'!$D$31</f>
        <v>0</v>
      </c>
    </row>
    <row r="27" spans="1:3" x14ac:dyDescent="0.3">
      <c r="A27" s="104">
        <f>'2'!$A$1</f>
        <v>46175</v>
      </c>
      <c r="B27" s="105">
        <f>'2'!$B$32</f>
        <v>0</v>
      </c>
      <c r="C27" s="68">
        <f>'2'!$D$32</f>
        <v>0</v>
      </c>
    </row>
    <row r="28" spans="1:3" x14ac:dyDescent="0.3">
      <c r="A28" s="104">
        <f>'2'!$A$1</f>
        <v>46175</v>
      </c>
      <c r="B28" s="105">
        <f>'2'!$B$33</f>
        <v>0</v>
      </c>
      <c r="C28" s="68">
        <f>'2'!$D$33</f>
        <v>0</v>
      </c>
    </row>
    <row r="29" spans="1:3" x14ac:dyDescent="0.3">
      <c r="A29" s="104">
        <f>'3'!$A$1</f>
        <v>46176</v>
      </c>
      <c r="B29" s="105">
        <f>'3'!$B$21</f>
        <v>0</v>
      </c>
      <c r="C29" s="68">
        <f>'3'!$D$21</f>
        <v>0</v>
      </c>
    </row>
    <row r="30" spans="1:3" x14ac:dyDescent="0.3">
      <c r="A30" s="104">
        <f>'3'!$A$1</f>
        <v>46176</v>
      </c>
      <c r="B30" s="105">
        <f>'3'!$B$22</f>
        <v>0</v>
      </c>
      <c r="C30" s="68">
        <f>'3'!$D$22</f>
        <v>0</v>
      </c>
    </row>
    <row r="31" spans="1:3" x14ac:dyDescent="0.3">
      <c r="A31" s="104">
        <f>'3'!$A$1</f>
        <v>46176</v>
      </c>
      <c r="B31" s="105">
        <f>'3'!$B$23</f>
        <v>0</v>
      </c>
      <c r="C31" s="68">
        <f>'3'!$D$23</f>
        <v>0</v>
      </c>
    </row>
    <row r="32" spans="1:3" x14ac:dyDescent="0.3">
      <c r="A32" s="104">
        <f>'3'!$A$1</f>
        <v>46176</v>
      </c>
      <c r="B32" s="105">
        <f>'3'!$B$24</f>
        <v>0</v>
      </c>
      <c r="C32" s="68">
        <f>'3'!$D$24</f>
        <v>0</v>
      </c>
    </row>
    <row r="33" spans="1:5" x14ac:dyDescent="0.3">
      <c r="A33" s="104">
        <f>'3'!$A$1</f>
        <v>46176</v>
      </c>
      <c r="B33" s="105">
        <f>'3'!$B$25</f>
        <v>0</v>
      </c>
      <c r="C33" s="186">
        <f>'3'!$D$25</f>
        <v>0</v>
      </c>
      <c r="D33" s="144"/>
      <c r="E33" s="144"/>
    </row>
    <row r="34" spans="1:5" x14ac:dyDescent="0.3">
      <c r="A34" s="187">
        <f>'3'!$A$1</f>
        <v>46176</v>
      </c>
      <c r="B34" s="105">
        <f>'3'!$B$26</f>
        <v>0</v>
      </c>
      <c r="C34" s="186">
        <f>'3'!$D$26</f>
        <v>0</v>
      </c>
      <c r="D34" s="144"/>
      <c r="E34" s="144"/>
    </row>
    <row r="35" spans="1:5" x14ac:dyDescent="0.3">
      <c r="A35" s="104">
        <f>'3'!$A$1</f>
        <v>46176</v>
      </c>
      <c r="B35" s="105">
        <f>'3'!$B$27</f>
        <v>0</v>
      </c>
      <c r="C35" s="68">
        <f>'3'!$D$27</f>
        <v>0</v>
      </c>
    </row>
    <row r="36" spans="1:5" x14ac:dyDescent="0.3">
      <c r="A36" s="104">
        <f>'3'!$A$1</f>
        <v>46176</v>
      </c>
      <c r="B36" s="105">
        <f>'3'!$B$28</f>
        <v>0</v>
      </c>
      <c r="C36" s="68">
        <f>'3'!$D$28</f>
        <v>0</v>
      </c>
    </row>
    <row r="37" spans="1:5" x14ac:dyDescent="0.3">
      <c r="A37" s="104">
        <f>'3'!$A$1</f>
        <v>46176</v>
      </c>
      <c r="B37" s="105">
        <f>'3'!$B$29</f>
        <v>0</v>
      </c>
      <c r="C37" s="68">
        <f>'3'!$D$29</f>
        <v>0</v>
      </c>
    </row>
    <row r="38" spans="1:5" x14ac:dyDescent="0.3">
      <c r="A38" s="104">
        <f>'3'!$A$1</f>
        <v>46176</v>
      </c>
      <c r="B38" s="105">
        <f>'3'!$B$30</f>
        <v>0</v>
      </c>
      <c r="C38" s="68">
        <f>'3'!$D$30</f>
        <v>0</v>
      </c>
    </row>
    <row r="39" spans="1:5" x14ac:dyDescent="0.3">
      <c r="A39" s="104">
        <f>'3'!$A$1</f>
        <v>46176</v>
      </c>
      <c r="B39" s="105">
        <f>'3'!$B$31</f>
        <v>0</v>
      </c>
      <c r="C39" s="68">
        <f>'3'!$D$31</f>
        <v>0</v>
      </c>
    </row>
    <row r="40" spans="1:5" x14ac:dyDescent="0.3">
      <c r="A40" s="104">
        <f>'3'!$A$1</f>
        <v>46176</v>
      </c>
      <c r="B40" s="105">
        <f>'3'!$B$32</f>
        <v>0</v>
      </c>
      <c r="C40" s="68">
        <f>'3'!$D$32</f>
        <v>0</v>
      </c>
    </row>
    <row r="41" spans="1:5" x14ac:dyDescent="0.3">
      <c r="A41" s="104">
        <f>'3'!$A$1</f>
        <v>46176</v>
      </c>
      <c r="B41" s="105">
        <f>'3'!$B$33</f>
        <v>0</v>
      </c>
      <c r="C41" s="68">
        <f>'3'!$D$33</f>
        <v>0</v>
      </c>
    </row>
    <row r="42" spans="1:5" x14ac:dyDescent="0.3">
      <c r="A42" s="104">
        <f>'4'!$A$1</f>
        <v>46177</v>
      </c>
      <c r="B42" s="105">
        <f>'4'!$B$21</f>
        <v>0</v>
      </c>
      <c r="C42" s="68">
        <f>'4'!$D$21</f>
        <v>0</v>
      </c>
    </row>
    <row r="43" spans="1:5" x14ac:dyDescent="0.3">
      <c r="A43" s="104">
        <f>'4'!$A$1</f>
        <v>46177</v>
      </c>
      <c r="B43" s="105">
        <f>'4'!$B$22</f>
        <v>0</v>
      </c>
      <c r="C43" s="68">
        <f>'4'!$D$22</f>
        <v>0</v>
      </c>
    </row>
    <row r="44" spans="1:5" x14ac:dyDescent="0.3">
      <c r="A44" s="104">
        <f>'4'!$A$1</f>
        <v>46177</v>
      </c>
      <c r="B44" s="105">
        <f>'4'!$B$23</f>
        <v>0</v>
      </c>
      <c r="C44" s="68">
        <f>'4'!$D$23</f>
        <v>0</v>
      </c>
    </row>
    <row r="45" spans="1:5" x14ac:dyDescent="0.3">
      <c r="A45" s="104">
        <f>'4'!$A$1</f>
        <v>46177</v>
      </c>
      <c r="B45" s="105">
        <f>'4'!$B$24</f>
        <v>0</v>
      </c>
      <c r="C45" s="68">
        <f>'4'!$D$24</f>
        <v>0</v>
      </c>
    </row>
    <row r="46" spans="1:5" x14ac:dyDescent="0.3">
      <c r="A46" s="104">
        <f>'4'!$A$1</f>
        <v>46177</v>
      </c>
      <c r="B46" s="105">
        <f>'4'!$B$25</f>
        <v>0</v>
      </c>
      <c r="C46" s="68">
        <f>'4'!$D$25</f>
        <v>0</v>
      </c>
    </row>
    <row r="47" spans="1:5" x14ac:dyDescent="0.3">
      <c r="A47" s="104">
        <f>'4'!$A$1</f>
        <v>46177</v>
      </c>
      <c r="B47" s="105">
        <f>'4'!$B$26</f>
        <v>0</v>
      </c>
      <c r="C47" s="68">
        <f>'4'!$D$26</f>
        <v>0</v>
      </c>
    </row>
    <row r="48" spans="1:5" x14ac:dyDescent="0.3">
      <c r="A48" s="104">
        <f>'4'!$A$1</f>
        <v>46177</v>
      </c>
      <c r="B48" s="105">
        <f>'4'!$B$27</f>
        <v>0</v>
      </c>
      <c r="C48" s="68">
        <f>'4'!$D$27</f>
        <v>0</v>
      </c>
    </row>
    <row r="49" spans="1:3" x14ac:dyDescent="0.3">
      <c r="A49" s="104">
        <f>'4'!$A$1</f>
        <v>46177</v>
      </c>
      <c r="B49" s="105">
        <f>'4'!$B$28</f>
        <v>0</v>
      </c>
      <c r="C49" s="68">
        <f>'4'!$D$28</f>
        <v>0</v>
      </c>
    </row>
    <row r="50" spans="1:3" x14ac:dyDescent="0.3">
      <c r="A50" s="104">
        <f>'4'!$A$1</f>
        <v>46177</v>
      </c>
      <c r="B50" s="105">
        <f>'4'!$B$29</f>
        <v>0</v>
      </c>
      <c r="C50" s="68">
        <f>'4'!$D$29</f>
        <v>0</v>
      </c>
    </row>
    <row r="51" spans="1:3" x14ac:dyDescent="0.3">
      <c r="A51" s="104">
        <f>'4'!$A$1</f>
        <v>46177</v>
      </c>
      <c r="B51" s="105">
        <f>'4'!$B$30</f>
        <v>0</v>
      </c>
      <c r="C51" s="68">
        <f>'4'!$D$30</f>
        <v>0</v>
      </c>
    </row>
    <row r="52" spans="1:3" x14ac:dyDescent="0.3">
      <c r="A52" s="104">
        <f>'4'!$A$1</f>
        <v>46177</v>
      </c>
      <c r="B52" s="105">
        <f>'4'!$B$31</f>
        <v>0</v>
      </c>
      <c r="C52" s="68">
        <f>'4'!$D$31</f>
        <v>0</v>
      </c>
    </row>
    <row r="53" spans="1:3" x14ac:dyDescent="0.3">
      <c r="A53" s="104">
        <f>'4'!$A$1</f>
        <v>46177</v>
      </c>
      <c r="B53" s="105">
        <f>'4'!$B$32</f>
        <v>0</v>
      </c>
      <c r="C53" s="68">
        <f>'4'!$D$32</f>
        <v>0</v>
      </c>
    </row>
    <row r="54" spans="1:3" x14ac:dyDescent="0.3">
      <c r="A54" s="104">
        <f>'4'!$A$1</f>
        <v>46177</v>
      </c>
      <c r="B54" s="105">
        <f>'4'!$B$33</f>
        <v>0</v>
      </c>
      <c r="C54" s="68">
        <f>'4'!$D$33</f>
        <v>0</v>
      </c>
    </row>
    <row r="55" spans="1:3" x14ac:dyDescent="0.3">
      <c r="A55" s="104">
        <f>'5'!$A$1</f>
        <v>46178</v>
      </c>
      <c r="B55" s="105" t="str">
        <f>'5'!$B$21</f>
        <v xml:space="preserve">PERSONEL YOL </v>
      </c>
      <c r="C55" s="68">
        <f>'5'!$D$21</f>
        <v>12250</v>
      </c>
    </row>
    <row r="56" spans="1:3" x14ac:dyDescent="0.3">
      <c r="A56" s="104">
        <f>'5'!$A$1</f>
        <v>46178</v>
      </c>
      <c r="B56" s="105" t="str">
        <f>'5'!$B$22</f>
        <v xml:space="preserve">EXTRA PERSONEL 3 KISI </v>
      </c>
      <c r="C56" s="68">
        <f>'5'!$D$22</f>
        <v>6500</v>
      </c>
    </row>
    <row r="57" spans="1:3" x14ac:dyDescent="0.3">
      <c r="A57" s="104">
        <f>'5'!$A$1</f>
        <v>46178</v>
      </c>
      <c r="B57" s="105" t="str">
        <f>'5'!$B$23</f>
        <v>HAYATI AKSU</v>
      </c>
      <c r="C57" s="68">
        <f>'5'!$D$23</f>
        <v>2000</v>
      </c>
    </row>
    <row r="58" spans="1:3" x14ac:dyDescent="0.3">
      <c r="A58" s="104">
        <f>'5'!$A$1</f>
        <v>46178</v>
      </c>
      <c r="B58" s="105" t="str">
        <f>'5'!$B$24</f>
        <v>MASA ORTUSU YIKAMA 32 ADET</v>
      </c>
      <c r="C58" s="68">
        <f>'5'!$D$24</f>
        <v>960</v>
      </c>
    </row>
    <row r="59" spans="1:3" x14ac:dyDescent="0.3">
      <c r="A59" s="104">
        <f>'5'!$A$1</f>
        <v>46178</v>
      </c>
      <c r="B59" s="105" t="str">
        <f>'5'!$B$25</f>
        <v>10 ADET LED AMPUL</v>
      </c>
      <c r="C59" s="68">
        <f>'5'!$D$25</f>
        <v>1010</v>
      </c>
    </row>
    <row r="60" spans="1:3" x14ac:dyDescent="0.3">
      <c r="A60" s="104">
        <f>'5'!$A$1</f>
        <v>46178</v>
      </c>
      <c r="B60" s="105" t="str">
        <f>'5'!$B$26</f>
        <v xml:space="preserve">KABARET TEMIZLIGI </v>
      </c>
      <c r="C60" s="68">
        <f>'5'!$D$26</f>
        <v>1000</v>
      </c>
    </row>
    <row r="61" spans="1:3" x14ac:dyDescent="0.3">
      <c r="A61" s="104">
        <f>'5'!$A$1</f>
        <v>46178</v>
      </c>
      <c r="B61" s="105" t="str">
        <f>'5'!$B$27</f>
        <v>ELEKTRIKCIYE SAHNE ISTIRIDYELERI ICIN ÖDEME</v>
      </c>
      <c r="C61" s="68">
        <f>'5'!$D$27</f>
        <v>1000</v>
      </c>
    </row>
    <row r="62" spans="1:3" x14ac:dyDescent="0.3">
      <c r="A62" s="104">
        <f>'5'!$A$1</f>
        <v>46178</v>
      </c>
      <c r="B62" s="105" t="str">
        <f>'5'!$B$28</f>
        <v>BAR ICIN TOZ SEKER,YUMURTA ALIMI</v>
      </c>
      <c r="C62" s="68">
        <f>'5'!$D$28</f>
        <v>615</v>
      </c>
    </row>
    <row r="63" spans="1:3" x14ac:dyDescent="0.3">
      <c r="A63" s="104">
        <f>'5'!$A$1</f>
        <v>46178</v>
      </c>
      <c r="B63" s="105" t="str">
        <f>'5'!$B$29</f>
        <v xml:space="preserve">KOLI BANT 3 ADET </v>
      </c>
      <c r="C63" s="68">
        <f>'5'!$D$29</f>
        <v>195</v>
      </c>
    </row>
    <row r="64" spans="1:3" x14ac:dyDescent="0.3">
      <c r="A64" s="104">
        <f>'5'!$A$1</f>
        <v>46178</v>
      </c>
      <c r="B64" s="105" t="str">
        <f>'5'!$B$30</f>
        <v>BAR ICIN PEYNIR ALIMI</v>
      </c>
      <c r="C64" s="68">
        <f>'5'!$D$30</f>
        <v>14400</v>
      </c>
    </row>
    <row r="65" spans="1:3" x14ac:dyDescent="0.3">
      <c r="A65" s="104">
        <f>'5'!$A$1</f>
        <v>46178</v>
      </c>
      <c r="B65" s="105">
        <f>'5'!$B$31</f>
        <v>0</v>
      </c>
      <c r="C65" s="68">
        <f>'5'!$D$31</f>
        <v>0</v>
      </c>
    </row>
    <row r="66" spans="1:3" x14ac:dyDescent="0.3">
      <c r="A66" s="104">
        <f>'5'!$A$1</f>
        <v>46178</v>
      </c>
      <c r="B66" s="105">
        <f>'5'!$B$32</f>
        <v>0</v>
      </c>
      <c r="C66" s="68">
        <f>'5'!$D$32</f>
        <v>0</v>
      </c>
    </row>
    <row r="67" spans="1:3" x14ac:dyDescent="0.3">
      <c r="A67" s="104">
        <f>'5'!$A$1</f>
        <v>46178</v>
      </c>
      <c r="B67" s="105">
        <f>'5'!$B$33</f>
        <v>0</v>
      </c>
      <c r="C67" s="68">
        <f>'5'!$D$33</f>
        <v>0</v>
      </c>
    </row>
    <row r="68" spans="1:3" x14ac:dyDescent="0.3">
      <c r="A68" s="104">
        <f>'6'!$A$1</f>
        <v>46179</v>
      </c>
      <c r="B68" s="105">
        <f>'6'!$B$21</f>
        <v>0</v>
      </c>
      <c r="C68" s="68">
        <f>'6'!$D$21</f>
        <v>0</v>
      </c>
    </row>
    <row r="69" spans="1:3" x14ac:dyDescent="0.3">
      <c r="A69" s="104" t="s">
        <v>85</v>
      </c>
      <c r="B69" s="105">
        <f>'6'!$B$22</f>
        <v>0</v>
      </c>
      <c r="C69" s="68">
        <f>'6'!$D$22</f>
        <v>0</v>
      </c>
    </row>
    <row r="70" spans="1:3" x14ac:dyDescent="0.3">
      <c r="A70" s="104">
        <f>'6'!$A$1</f>
        <v>46179</v>
      </c>
      <c r="B70" s="105">
        <f>'6'!$B$23</f>
        <v>0</v>
      </c>
      <c r="C70" s="68">
        <f>'6'!$D$23</f>
        <v>0</v>
      </c>
    </row>
    <row r="71" spans="1:3" x14ac:dyDescent="0.3">
      <c r="A71" s="104">
        <f>'6'!$A$1</f>
        <v>46179</v>
      </c>
      <c r="B71" s="105">
        <f>'6'!$B$24</f>
        <v>0</v>
      </c>
      <c r="C71" s="68">
        <f>'6'!$D$24</f>
        <v>0</v>
      </c>
    </row>
    <row r="72" spans="1:3" x14ac:dyDescent="0.3">
      <c r="A72" s="104">
        <f>'6'!$A$1</f>
        <v>46179</v>
      </c>
      <c r="B72" s="105">
        <f>'6'!$B$25</f>
        <v>0</v>
      </c>
      <c r="C72" s="68">
        <f>'6'!$D$25</f>
        <v>0</v>
      </c>
    </row>
    <row r="73" spans="1:3" x14ac:dyDescent="0.3">
      <c r="A73" s="104">
        <f>'6'!$A$1</f>
        <v>46179</v>
      </c>
      <c r="B73" s="105">
        <f>'6'!$B$26</f>
        <v>0</v>
      </c>
      <c r="C73" s="68">
        <f>'6'!$D$26</f>
        <v>0</v>
      </c>
    </row>
    <row r="74" spans="1:3" x14ac:dyDescent="0.3">
      <c r="A74" s="104">
        <f>'6'!$A$1</f>
        <v>46179</v>
      </c>
      <c r="B74" s="105">
        <f>'6'!$B$27</f>
        <v>0</v>
      </c>
      <c r="C74" s="68">
        <f>'6'!$D$27</f>
        <v>0</v>
      </c>
    </row>
    <row r="75" spans="1:3" x14ac:dyDescent="0.3">
      <c r="A75" s="104">
        <f>'6'!$A$1</f>
        <v>46179</v>
      </c>
      <c r="B75" s="105">
        <f>'6'!$B$28</f>
        <v>0</v>
      </c>
      <c r="C75" s="68">
        <f>'6'!$D$28</f>
        <v>0</v>
      </c>
    </row>
    <row r="76" spans="1:3" x14ac:dyDescent="0.3">
      <c r="A76" s="104">
        <f>'6'!$A$1</f>
        <v>46179</v>
      </c>
      <c r="B76" s="105">
        <f>'6'!$B$29</f>
        <v>0</v>
      </c>
      <c r="C76" s="68">
        <f>'6'!$D$29</f>
        <v>0</v>
      </c>
    </row>
    <row r="77" spans="1:3" x14ac:dyDescent="0.3">
      <c r="A77" s="104">
        <f>'6'!$A$1</f>
        <v>46179</v>
      </c>
      <c r="B77" s="105">
        <f>'6'!$B$30</f>
        <v>0</v>
      </c>
      <c r="C77" s="68">
        <f>'6'!$D$30</f>
        <v>0</v>
      </c>
    </row>
    <row r="78" spans="1:3" x14ac:dyDescent="0.3">
      <c r="A78" s="104">
        <f>'6'!$A$1</f>
        <v>46179</v>
      </c>
      <c r="B78" s="105">
        <f>'6'!$B$31</f>
        <v>0</v>
      </c>
      <c r="C78" s="68">
        <f>'6'!$D$31</f>
        <v>0</v>
      </c>
    </row>
    <row r="79" spans="1:3" x14ac:dyDescent="0.3">
      <c r="A79" s="104">
        <f>'6'!$A$1</f>
        <v>46179</v>
      </c>
      <c r="B79" s="105">
        <f>'6'!$B$32</f>
        <v>0</v>
      </c>
      <c r="C79" s="68">
        <f>'6'!$D$32</f>
        <v>0</v>
      </c>
    </row>
    <row r="80" spans="1:3" x14ac:dyDescent="0.3">
      <c r="A80" s="104">
        <f>'6'!$A$1</f>
        <v>46179</v>
      </c>
      <c r="B80" s="105">
        <f>'6'!$B$33</f>
        <v>0</v>
      </c>
      <c r="C80" s="68">
        <f>'6'!$D$33</f>
        <v>0</v>
      </c>
    </row>
    <row r="81" spans="1:3" x14ac:dyDescent="0.3">
      <c r="A81" s="104">
        <f>'7'!$A$1</f>
        <v>46180</v>
      </c>
      <c r="B81" s="105">
        <f>'7'!$B$21</f>
        <v>0</v>
      </c>
      <c r="C81" s="68">
        <f>'7'!$D$21</f>
        <v>0</v>
      </c>
    </row>
    <row r="82" spans="1:3" x14ac:dyDescent="0.3">
      <c r="A82" s="104">
        <f>'7'!$A$1</f>
        <v>46180</v>
      </c>
      <c r="B82" s="105">
        <f>'7'!$B$22</f>
        <v>0</v>
      </c>
      <c r="C82" s="68">
        <f>'7'!$D$22</f>
        <v>0</v>
      </c>
    </row>
    <row r="83" spans="1:3" x14ac:dyDescent="0.3">
      <c r="A83" s="104">
        <f>'7'!$A$1</f>
        <v>46180</v>
      </c>
      <c r="B83" s="105">
        <f>'7'!$B$23</f>
        <v>0</v>
      </c>
      <c r="C83" s="68">
        <f>'7'!$D$23</f>
        <v>0</v>
      </c>
    </row>
    <row r="84" spans="1:3" x14ac:dyDescent="0.3">
      <c r="A84" s="104">
        <f>'7'!$A$1</f>
        <v>46180</v>
      </c>
      <c r="B84" s="105">
        <f>'7'!$B$24</f>
        <v>0</v>
      </c>
      <c r="C84" s="68">
        <f>'7'!$D$24</f>
        <v>0</v>
      </c>
    </row>
    <row r="85" spans="1:3" x14ac:dyDescent="0.3">
      <c r="A85" s="104">
        <f>'7'!$A$1</f>
        <v>46180</v>
      </c>
      <c r="B85" s="105">
        <f>'7'!$B$25</f>
        <v>0</v>
      </c>
      <c r="C85" s="68">
        <f>'7'!$D$25</f>
        <v>0</v>
      </c>
    </row>
    <row r="86" spans="1:3" x14ac:dyDescent="0.3">
      <c r="A86" s="104">
        <f>'7'!$A$1</f>
        <v>46180</v>
      </c>
      <c r="B86" s="105">
        <f>'7'!$B$26</f>
        <v>0</v>
      </c>
      <c r="C86" s="68">
        <f>'7'!$D$26</f>
        <v>0</v>
      </c>
    </row>
    <row r="87" spans="1:3" x14ac:dyDescent="0.3">
      <c r="A87" s="104">
        <f>'7'!$A$1</f>
        <v>46180</v>
      </c>
      <c r="B87" s="105">
        <f>'7'!$B$27</f>
        <v>0</v>
      </c>
      <c r="C87" s="68">
        <f>'7'!$D$27</f>
        <v>0</v>
      </c>
    </row>
    <row r="88" spans="1:3" x14ac:dyDescent="0.3">
      <c r="A88" s="104">
        <f>'7'!$A$1</f>
        <v>46180</v>
      </c>
      <c r="B88" s="105">
        <f>'7'!$B$28</f>
        <v>0</v>
      </c>
      <c r="C88" s="68">
        <f>'7'!$D$28</f>
        <v>0</v>
      </c>
    </row>
    <row r="89" spans="1:3" x14ac:dyDescent="0.3">
      <c r="A89" s="104">
        <f>'7'!$A$1</f>
        <v>46180</v>
      </c>
      <c r="B89" s="105">
        <f>'7'!$B$29</f>
        <v>0</v>
      </c>
      <c r="C89" s="68">
        <f>'7'!$D$29</f>
        <v>0</v>
      </c>
    </row>
    <row r="90" spans="1:3" x14ac:dyDescent="0.3">
      <c r="A90" s="104">
        <f>'7'!$A$1</f>
        <v>46180</v>
      </c>
      <c r="B90" s="105">
        <f>'7'!$B$30</f>
        <v>0</v>
      </c>
      <c r="C90" s="68">
        <f>'7'!$D$30</f>
        <v>0</v>
      </c>
    </row>
    <row r="91" spans="1:3" x14ac:dyDescent="0.3">
      <c r="A91" s="104">
        <f>'7'!$A$1</f>
        <v>46180</v>
      </c>
      <c r="B91" s="105">
        <f>'7'!$B$31</f>
        <v>0</v>
      </c>
      <c r="C91" s="68">
        <f>'7'!$D$31</f>
        <v>0</v>
      </c>
    </row>
    <row r="92" spans="1:3" x14ac:dyDescent="0.3">
      <c r="A92" s="104">
        <f>'7'!$A$1</f>
        <v>46180</v>
      </c>
      <c r="B92" s="105">
        <f>'7'!$B$32</f>
        <v>0</v>
      </c>
      <c r="C92" s="68">
        <f>'7'!$D$32</f>
        <v>0</v>
      </c>
    </row>
    <row r="93" spans="1:3" x14ac:dyDescent="0.3">
      <c r="A93" s="104">
        <f>'7'!$A$1</f>
        <v>46180</v>
      </c>
      <c r="B93" s="105">
        <f>'7'!$B$33</f>
        <v>0</v>
      </c>
      <c r="C93" s="68">
        <f>'7'!$D$33</f>
        <v>0</v>
      </c>
    </row>
    <row r="94" spans="1:3" x14ac:dyDescent="0.3">
      <c r="A94" s="104">
        <f>'8'!$A$1</f>
        <v>46181</v>
      </c>
      <c r="B94" s="105">
        <f>'8'!$B$21</f>
        <v>0</v>
      </c>
      <c r="C94" s="68">
        <f>'8'!$D$21</f>
        <v>0</v>
      </c>
    </row>
    <row r="95" spans="1:3" x14ac:dyDescent="0.3">
      <c r="A95" s="104">
        <f>'8'!$A$1</f>
        <v>46181</v>
      </c>
      <c r="B95" s="105">
        <f>'8'!$B$22</f>
        <v>0</v>
      </c>
      <c r="C95" s="68">
        <f>'8'!$D$22</f>
        <v>0</v>
      </c>
    </row>
    <row r="96" spans="1:3" x14ac:dyDescent="0.3">
      <c r="A96" s="104">
        <f>'8'!$A$1</f>
        <v>46181</v>
      </c>
      <c r="B96" s="105">
        <f>'8'!$B$23</f>
        <v>0</v>
      </c>
      <c r="C96" s="68">
        <f>'8'!$D$23</f>
        <v>0</v>
      </c>
    </row>
    <row r="97" spans="1:3" x14ac:dyDescent="0.3">
      <c r="A97" s="104">
        <f>'8'!$A$1</f>
        <v>46181</v>
      </c>
      <c r="B97" s="105">
        <f>'8'!$B$24</f>
        <v>0</v>
      </c>
      <c r="C97" s="68">
        <f>'8'!$D$24</f>
        <v>0</v>
      </c>
    </row>
    <row r="98" spans="1:3" x14ac:dyDescent="0.3">
      <c r="A98" s="104">
        <f>'8'!$A$1</f>
        <v>46181</v>
      </c>
      <c r="B98" s="105">
        <f>'8'!$B$25</f>
        <v>0</v>
      </c>
      <c r="C98" s="68">
        <f>'8'!$D$25</f>
        <v>0</v>
      </c>
    </row>
    <row r="99" spans="1:3" x14ac:dyDescent="0.3">
      <c r="A99" s="104">
        <f>'8'!$A$1</f>
        <v>46181</v>
      </c>
      <c r="B99" s="105">
        <f>'8'!$B$26</f>
        <v>0</v>
      </c>
      <c r="C99" s="68">
        <f>'8'!$D$26</f>
        <v>0</v>
      </c>
    </row>
    <row r="100" spans="1:3" x14ac:dyDescent="0.3">
      <c r="A100" s="104">
        <f>'8'!$A$1</f>
        <v>46181</v>
      </c>
      <c r="B100" s="105">
        <f>'8'!$B$27</f>
        <v>0</v>
      </c>
      <c r="C100" s="68">
        <f>'8'!$D$27</f>
        <v>0</v>
      </c>
    </row>
    <row r="101" spans="1:3" x14ac:dyDescent="0.3">
      <c r="A101" s="104">
        <f>'8'!$A$1</f>
        <v>46181</v>
      </c>
      <c r="B101" s="105">
        <f>'8'!$B$28</f>
        <v>0</v>
      </c>
      <c r="C101" s="68">
        <f>'8'!$D$28</f>
        <v>0</v>
      </c>
    </row>
    <row r="102" spans="1:3" x14ac:dyDescent="0.3">
      <c r="A102" s="104">
        <f>'8'!$A$1</f>
        <v>46181</v>
      </c>
      <c r="B102" s="105">
        <f>'8'!$B$29</f>
        <v>0</v>
      </c>
      <c r="C102" s="68">
        <f>'8'!$D$29</f>
        <v>0</v>
      </c>
    </row>
    <row r="103" spans="1:3" x14ac:dyDescent="0.3">
      <c r="A103" s="104">
        <f>'8'!$A$1</f>
        <v>46181</v>
      </c>
      <c r="B103" s="105">
        <f>'8'!$B$30</f>
        <v>0</v>
      </c>
      <c r="C103" s="68">
        <f>'8'!$D$30</f>
        <v>0</v>
      </c>
    </row>
    <row r="104" spans="1:3" x14ac:dyDescent="0.3">
      <c r="A104" s="104">
        <f>'8'!$A$1</f>
        <v>46181</v>
      </c>
      <c r="B104" s="105">
        <f>'8'!$B$31</f>
        <v>0</v>
      </c>
      <c r="C104" s="68">
        <f>'8'!$D$31</f>
        <v>0</v>
      </c>
    </row>
    <row r="105" spans="1:3" x14ac:dyDescent="0.3">
      <c r="A105" s="104">
        <f>'8'!$A$1</f>
        <v>46181</v>
      </c>
      <c r="B105" s="105">
        <f>'8'!$B$32</f>
        <v>0</v>
      </c>
      <c r="C105" s="68">
        <f>'8'!$D$32</f>
        <v>0</v>
      </c>
    </row>
    <row r="106" spans="1:3" x14ac:dyDescent="0.3">
      <c r="A106" s="104">
        <f>'8'!$A$1</f>
        <v>46181</v>
      </c>
      <c r="B106" s="105">
        <f>'8'!$B$33</f>
        <v>0</v>
      </c>
      <c r="C106" s="68">
        <f>'8'!$D$33</f>
        <v>0</v>
      </c>
    </row>
    <row r="107" spans="1:3" x14ac:dyDescent="0.3">
      <c r="A107" s="104">
        <f>'9'!$A$1</f>
        <v>46182</v>
      </c>
      <c r="B107" s="105">
        <f>'9'!$B$21</f>
        <v>0</v>
      </c>
      <c r="C107" s="68">
        <f>'9'!$D$21</f>
        <v>0</v>
      </c>
    </row>
    <row r="108" spans="1:3" x14ac:dyDescent="0.3">
      <c r="A108" s="104">
        <f>'9'!$A$1</f>
        <v>46182</v>
      </c>
      <c r="B108" s="105">
        <f>'9'!$B$22</f>
        <v>0</v>
      </c>
      <c r="C108" s="68">
        <f>'9'!$D$22</f>
        <v>0</v>
      </c>
    </row>
    <row r="109" spans="1:3" x14ac:dyDescent="0.3">
      <c r="A109" s="104">
        <f>'9'!$A$1</f>
        <v>46182</v>
      </c>
      <c r="B109" s="105">
        <f>'9'!$B$23</f>
        <v>0</v>
      </c>
      <c r="C109" s="68">
        <f>'9'!$D$23</f>
        <v>0</v>
      </c>
    </row>
    <row r="110" spans="1:3" x14ac:dyDescent="0.3">
      <c r="A110" s="104">
        <f>'9'!$A$1</f>
        <v>46182</v>
      </c>
      <c r="B110" s="105">
        <f>'9'!$B$24</f>
        <v>0</v>
      </c>
      <c r="C110" s="68">
        <f>'9'!$D$24</f>
        <v>0</v>
      </c>
    </row>
    <row r="111" spans="1:3" x14ac:dyDescent="0.3">
      <c r="A111" s="104">
        <f>'9'!$A$1</f>
        <v>46182</v>
      </c>
      <c r="B111" s="105">
        <f>'9'!$B$25</f>
        <v>0</v>
      </c>
      <c r="C111" s="68">
        <f>'9'!$D$25</f>
        <v>0</v>
      </c>
    </row>
    <row r="112" spans="1:3" x14ac:dyDescent="0.3">
      <c r="A112" s="104">
        <f>'9'!$A$1</f>
        <v>46182</v>
      </c>
      <c r="B112" s="105">
        <f>'9'!$B$26</f>
        <v>0</v>
      </c>
      <c r="C112" s="68">
        <f>'9'!$D$26</f>
        <v>0</v>
      </c>
    </row>
    <row r="113" spans="1:3" x14ac:dyDescent="0.3">
      <c r="A113" s="104">
        <f>'9'!$A$1</f>
        <v>46182</v>
      </c>
      <c r="B113" s="105">
        <f>'9'!$B$27</f>
        <v>0</v>
      </c>
      <c r="C113" s="68">
        <f>'9'!$D$27</f>
        <v>0</v>
      </c>
    </row>
    <row r="114" spans="1:3" x14ac:dyDescent="0.3">
      <c r="A114" s="104">
        <f>'9'!$A$1</f>
        <v>46182</v>
      </c>
      <c r="B114" s="105">
        <f>'9'!$B$28</f>
        <v>0</v>
      </c>
      <c r="C114" s="68">
        <f>'9'!$D$28</f>
        <v>0</v>
      </c>
    </row>
    <row r="115" spans="1:3" x14ac:dyDescent="0.3">
      <c r="A115" s="104">
        <f>'9'!$A$1</f>
        <v>46182</v>
      </c>
      <c r="B115" s="105">
        <f>'9'!$B$29</f>
        <v>0</v>
      </c>
      <c r="C115" s="68">
        <f>'9'!$D$29</f>
        <v>0</v>
      </c>
    </row>
    <row r="116" spans="1:3" x14ac:dyDescent="0.3">
      <c r="A116" s="104">
        <f>'9'!$A$1</f>
        <v>46182</v>
      </c>
      <c r="B116" s="105">
        <f>'9'!$B$30</f>
        <v>0</v>
      </c>
      <c r="C116" s="68">
        <f>'9'!$D$30</f>
        <v>0</v>
      </c>
    </row>
    <row r="117" spans="1:3" x14ac:dyDescent="0.3">
      <c r="A117" s="104">
        <f>'9'!$A$1</f>
        <v>46182</v>
      </c>
      <c r="B117" s="105">
        <f>'9'!$B$31</f>
        <v>0</v>
      </c>
      <c r="C117" s="68">
        <f>'9'!$D$31</f>
        <v>0</v>
      </c>
    </row>
    <row r="118" spans="1:3" x14ac:dyDescent="0.3">
      <c r="A118" s="104">
        <f>'9'!$A$1</f>
        <v>46182</v>
      </c>
      <c r="B118" s="105">
        <f>'9'!$B$32</f>
        <v>0</v>
      </c>
      <c r="C118" s="68">
        <f>'9'!$D$32</f>
        <v>0</v>
      </c>
    </row>
    <row r="119" spans="1:3" x14ac:dyDescent="0.3">
      <c r="A119" s="104">
        <f>'9'!$A$1</f>
        <v>46182</v>
      </c>
      <c r="B119" s="105">
        <f>'9'!$B$33</f>
        <v>0</v>
      </c>
      <c r="C119" s="68">
        <f>'9'!$D$33</f>
        <v>0</v>
      </c>
    </row>
    <row r="120" spans="1:3" x14ac:dyDescent="0.3">
      <c r="A120" s="104">
        <f>'10'!$A$1</f>
        <v>46183</v>
      </c>
      <c r="B120" s="105">
        <f>'10'!$B$21</f>
        <v>0</v>
      </c>
      <c r="C120" s="68">
        <f>'10'!$D$21</f>
        <v>0</v>
      </c>
    </row>
    <row r="121" spans="1:3" x14ac:dyDescent="0.3">
      <c r="A121" s="104">
        <f>'10'!$A$1</f>
        <v>46183</v>
      </c>
      <c r="B121" s="105">
        <f>'10'!$B$22</f>
        <v>0</v>
      </c>
      <c r="C121" s="68">
        <f>'10'!$D$22</f>
        <v>0</v>
      </c>
    </row>
    <row r="122" spans="1:3" x14ac:dyDescent="0.3">
      <c r="A122" s="104">
        <f>'10'!$A$1</f>
        <v>46183</v>
      </c>
      <c r="B122" s="105">
        <f>'10'!$B$23</f>
        <v>0</v>
      </c>
      <c r="C122" s="68">
        <f>'10'!$D$23</f>
        <v>0</v>
      </c>
    </row>
    <row r="123" spans="1:3" x14ac:dyDescent="0.3">
      <c r="A123" s="104">
        <f>'10'!$A$1</f>
        <v>46183</v>
      </c>
      <c r="B123" s="105">
        <f>'10'!$B$24</f>
        <v>0</v>
      </c>
      <c r="C123" s="68">
        <f>'10'!$D$24</f>
        <v>0</v>
      </c>
    </row>
    <row r="124" spans="1:3" x14ac:dyDescent="0.3">
      <c r="A124" s="104">
        <f>'10'!$A$1</f>
        <v>46183</v>
      </c>
      <c r="B124" s="105">
        <f>'10'!$B$25</f>
        <v>0</v>
      </c>
      <c r="C124" s="68">
        <f>'10'!$D$25</f>
        <v>0</v>
      </c>
    </row>
    <row r="125" spans="1:3" x14ac:dyDescent="0.3">
      <c r="A125" s="104">
        <f>'10'!$A$1</f>
        <v>46183</v>
      </c>
      <c r="B125" s="105">
        <f>'10'!$B$26</f>
        <v>0</v>
      </c>
      <c r="C125" s="68">
        <f>'10'!$D$26</f>
        <v>0</v>
      </c>
    </row>
    <row r="126" spans="1:3" x14ac:dyDescent="0.3">
      <c r="A126" s="104">
        <f>'10'!$A$1</f>
        <v>46183</v>
      </c>
      <c r="B126" s="105">
        <f>'10'!$B$27</f>
        <v>0</v>
      </c>
      <c r="C126" s="68">
        <f>'10'!$D$27</f>
        <v>0</v>
      </c>
    </row>
    <row r="127" spans="1:3" x14ac:dyDescent="0.3">
      <c r="A127" s="104">
        <f>'10'!$A$1</f>
        <v>46183</v>
      </c>
      <c r="B127" s="105">
        <f>'10'!$B$28</f>
        <v>0</v>
      </c>
      <c r="C127" s="68">
        <f>'10'!$D$28</f>
        <v>0</v>
      </c>
    </row>
    <row r="128" spans="1:3" x14ac:dyDescent="0.3">
      <c r="A128" s="104">
        <f>'10'!$A$1</f>
        <v>46183</v>
      </c>
      <c r="B128" s="105">
        <f>'10'!$B$29</f>
        <v>0</v>
      </c>
      <c r="C128" s="68">
        <f>'10'!$D$29</f>
        <v>0</v>
      </c>
    </row>
    <row r="129" spans="1:3" x14ac:dyDescent="0.3">
      <c r="A129" s="104">
        <f>'10'!$A$1</f>
        <v>46183</v>
      </c>
      <c r="B129" s="105">
        <f>'10'!$B$30</f>
        <v>0</v>
      </c>
      <c r="C129" s="68">
        <f>'10'!$D$30</f>
        <v>0</v>
      </c>
    </row>
    <row r="130" spans="1:3" x14ac:dyDescent="0.3">
      <c r="A130" s="104">
        <f>'10'!$A$1</f>
        <v>46183</v>
      </c>
      <c r="B130" s="105">
        <f>'10'!$B$31</f>
        <v>0</v>
      </c>
      <c r="C130" s="68">
        <f>'10'!$D$31</f>
        <v>0</v>
      </c>
    </row>
    <row r="131" spans="1:3" x14ac:dyDescent="0.3">
      <c r="A131" s="104">
        <f>'10'!$A$1</f>
        <v>46183</v>
      </c>
      <c r="B131" s="105">
        <f>'10'!$B$32</f>
        <v>0</v>
      </c>
      <c r="C131" s="68">
        <f>'10'!$D$32</f>
        <v>0</v>
      </c>
    </row>
    <row r="132" spans="1:3" x14ac:dyDescent="0.3">
      <c r="A132" s="104">
        <f>'10'!$A$1</f>
        <v>46183</v>
      </c>
      <c r="B132" s="105">
        <f>'10'!$B$33</f>
        <v>0</v>
      </c>
      <c r="C132" s="68">
        <f>'10'!$D$33</f>
        <v>0</v>
      </c>
    </row>
    <row r="133" spans="1:3" x14ac:dyDescent="0.3">
      <c r="A133" s="104">
        <f>'11'!$A$1</f>
        <v>46184</v>
      </c>
      <c r="B133" s="105">
        <f>'11'!$B$21</f>
        <v>0</v>
      </c>
      <c r="C133" s="68">
        <f>'11'!$D$21</f>
        <v>0</v>
      </c>
    </row>
    <row r="134" spans="1:3" x14ac:dyDescent="0.3">
      <c r="A134" s="104">
        <f>'11'!$A$1</f>
        <v>46184</v>
      </c>
      <c r="B134" s="105">
        <f>'11'!$B$22</f>
        <v>0</v>
      </c>
      <c r="C134" s="68">
        <f>'11'!$D$22</f>
        <v>0</v>
      </c>
    </row>
    <row r="135" spans="1:3" x14ac:dyDescent="0.3">
      <c r="A135" s="104">
        <f>'11'!$A$1</f>
        <v>46184</v>
      </c>
      <c r="B135" s="105">
        <f>'11'!$B$23</f>
        <v>0</v>
      </c>
      <c r="C135" s="68">
        <f>'11'!$D$23</f>
        <v>0</v>
      </c>
    </row>
    <row r="136" spans="1:3" x14ac:dyDescent="0.3">
      <c r="A136" s="104">
        <f>'11'!$A$1</f>
        <v>46184</v>
      </c>
      <c r="B136" s="105">
        <f>'11'!$B$24</f>
        <v>0</v>
      </c>
      <c r="C136" s="68">
        <f>'11'!$D$24</f>
        <v>0</v>
      </c>
    </row>
    <row r="137" spans="1:3" x14ac:dyDescent="0.3">
      <c r="A137" s="104">
        <f>'11'!$A$1</f>
        <v>46184</v>
      </c>
      <c r="B137" s="105">
        <f>'11'!$B$25</f>
        <v>0</v>
      </c>
      <c r="C137" s="68">
        <f>'11'!$D$25</f>
        <v>0</v>
      </c>
    </row>
    <row r="138" spans="1:3" x14ac:dyDescent="0.3">
      <c r="A138" s="104">
        <f>'11'!$A$1</f>
        <v>46184</v>
      </c>
      <c r="B138" s="105">
        <f>'11'!$B$26</f>
        <v>0</v>
      </c>
      <c r="C138" s="68">
        <f>'11'!$D$26</f>
        <v>0</v>
      </c>
    </row>
    <row r="139" spans="1:3" x14ac:dyDescent="0.3">
      <c r="A139" s="104">
        <f>'11'!$A$1</f>
        <v>46184</v>
      </c>
      <c r="B139" s="105">
        <f>'11'!$B$27</f>
        <v>0</v>
      </c>
      <c r="C139" s="68">
        <f>'11'!$D$27</f>
        <v>0</v>
      </c>
    </row>
    <row r="140" spans="1:3" x14ac:dyDescent="0.3">
      <c r="A140" s="104">
        <f>'11'!$A$1</f>
        <v>46184</v>
      </c>
      <c r="B140" s="105">
        <f>'11'!$B$28</f>
        <v>0</v>
      </c>
      <c r="C140" s="68">
        <f>'11'!$D$28</f>
        <v>0</v>
      </c>
    </row>
    <row r="141" spans="1:3" x14ac:dyDescent="0.3">
      <c r="A141" s="104">
        <f>'11'!$A$1</f>
        <v>46184</v>
      </c>
      <c r="B141" s="105">
        <f>'11'!$B$29</f>
        <v>0</v>
      </c>
      <c r="C141" s="68">
        <f>'11'!$D$29</f>
        <v>0</v>
      </c>
    </row>
    <row r="142" spans="1:3" x14ac:dyDescent="0.3">
      <c r="A142" s="104">
        <f>'11'!$A$1</f>
        <v>46184</v>
      </c>
      <c r="B142" s="105">
        <f>'11'!$B$30</f>
        <v>0</v>
      </c>
      <c r="C142" s="68">
        <f>'11'!$D$30</f>
        <v>0</v>
      </c>
    </row>
    <row r="143" spans="1:3" x14ac:dyDescent="0.3">
      <c r="A143" s="104">
        <f>'11'!$A$1</f>
        <v>46184</v>
      </c>
      <c r="B143" s="105">
        <f>'11'!$B$31</f>
        <v>0</v>
      </c>
      <c r="C143" s="68">
        <f>'11'!$D$31</f>
        <v>0</v>
      </c>
    </row>
    <row r="144" spans="1:3" x14ac:dyDescent="0.3">
      <c r="A144" s="104">
        <f>'11'!$A$1</f>
        <v>46184</v>
      </c>
      <c r="B144" s="105">
        <f>'11'!$B$32</f>
        <v>0</v>
      </c>
      <c r="C144" s="68">
        <f>'11'!$D$32</f>
        <v>0</v>
      </c>
    </row>
    <row r="145" spans="1:3" x14ac:dyDescent="0.3">
      <c r="A145" s="104">
        <f>'11'!$A$1</f>
        <v>46184</v>
      </c>
      <c r="B145" s="105">
        <f>'11'!$B$33</f>
        <v>0</v>
      </c>
      <c r="C145" s="68">
        <f>'11'!$D$33</f>
        <v>0</v>
      </c>
    </row>
    <row r="146" spans="1:3" x14ac:dyDescent="0.3">
      <c r="A146" s="104">
        <f>'12'!$A$1</f>
        <v>46185</v>
      </c>
      <c r="B146" s="105">
        <f>'12'!$B$21</f>
        <v>0</v>
      </c>
      <c r="C146" s="68">
        <f>'12'!$D$21</f>
        <v>0</v>
      </c>
    </row>
    <row r="147" spans="1:3" x14ac:dyDescent="0.3">
      <c r="A147" s="104">
        <f>'12'!$A$1</f>
        <v>46185</v>
      </c>
      <c r="B147" s="105">
        <f>'12'!$B$22</f>
        <v>0</v>
      </c>
      <c r="C147" s="68">
        <f>'12'!$D$22</f>
        <v>0</v>
      </c>
    </row>
    <row r="148" spans="1:3" x14ac:dyDescent="0.3">
      <c r="A148" s="104">
        <f>'12'!$A$1</f>
        <v>46185</v>
      </c>
      <c r="B148" s="105">
        <f>'12'!$B$23</f>
        <v>0</v>
      </c>
      <c r="C148" s="68">
        <f>'12'!$D$23</f>
        <v>0</v>
      </c>
    </row>
    <row r="149" spans="1:3" x14ac:dyDescent="0.3">
      <c r="A149" s="104">
        <f>'12'!$A$1</f>
        <v>46185</v>
      </c>
      <c r="B149" s="105">
        <f>'12'!$B$24</f>
        <v>0</v>
      </c>
      <c r="C149" s="68">
        <f>'12'!$D$24</f>
        <v>0</v>
      </c>
    </row>
    <row r="150" spans="1:3" x14ac:dyDescent="0.3">
      <c r="A150" s="104">
        <f>'12'!$A$1</f>
        <v>46185</v>
      </c>
      <c r="B150" s="105">
        <f>'12'!$B$25</f>
        <v>0</v>
      </c>
      <c r="C150" s="68">
        <f>'12'!$D$25</f>
        <v>0</v>
      </c>
    </row>
    <row r="151" spans="1:3" x14ac:dyDescent="0.3">
      <c r="A151" s="104">
        <f>'12'!$A$1</f>
        <v>46185</v>
      </c>
      <c r="B151" s="105">
        <f>'12'!$B$26</f>
        <v>0</v>
      </c>
      <c r="C151" s="68">
        <f>'12'!$D$26</f>
        <v>0</v>
      </c>
    </row>
    <row r="152" spans="1:3" x14ac:dyDescent="0.3">
      <c r="A152" s="104">
        <f>'12'!$A$1</f>
        <v>46185</v>
      </c>
      <c r="B152" s="105">
        <f>'12'!$B$27</f>
        <v>0</v>
      </c>
      <c r="C152" s="68">
        <f>'12'!$D$27</f>
        <v>0</v>
      </c>
    </row>
    <row r="153" spans="1:3" x14ac:dyDescent="0.3">
      <c r="A153" s="104">
        <f>'12'!$A$1</f>
        <v>46185</v>
      </c>
      <c r="B153" s="105">
        <f>'12'!$B$28</f>
        <v>0</v>
      </c>
      <c r="C153" s="68">
        <f>'12'!$D$28</f>
        <v>0</v>
      </c>
    </row>
    <row r="154" spans="1:3" x14ac:dyDescent="0.3">
      <c r="A154" s="104">
        <f>'12'!$A$1</f>
        <v>46185</v>
      </c>
      <c r="B154" s="105">
        <f>'12'!$B$29</f>
        <v>0</v>
      </c>
      <c r="C154" s="68">
        <f>'12'!$D$29</f>
        <v>0</v>
      </c>
    </row>
    <row r="155" spans="1:3" x14ac:dyDescent="0.3">
      <c r="A155" s="104">
        <f>'12'!$A$1</f>
        <v>46185</v>
      </c>
      <c r="B155" s="105">
        <f>'12'!$B$30</f>
        <v>0</v>
      </c>
      <c r="C155" s="68">
        <f>'12'!$D$30</f>
        <v>0</v>
      </c>
    </row>
    <row r="156" spans="1:3" x14ac:dyDescent="0.3">
      <c r="A156" s="104">
        <f>'12'!$A$1</f>
        <v>46185</v>
      </c>
      <c r="B156" s="105">
        <f>'12'!$B$31</f>
        <v>0</v>
      </c>
      <c r="C156" s="68">
        <f>'12'!$D$31</f>
        <v>0</v>
      </c>
    </row>
    <row r="157" spans="1:3" x14ac:dyDescent="0.3">
      <c r="A157" s="104">
        <f>'12'!$A$1</f>
        <v>46185</v>
      </c>
      <c r="B157" s="105">
        <f>'12'!$B$32</f>
        <v>0</v>
      </c>
      <c r="C157" s="68">
        <f>'12'!$D$32</f>
        <v>0</v>
      </c>
    </row>
    <row r="158" spans="1:3" x14ac:dyDescent="0.3">
      <c r="A158" s="104">
        <f>'12'!$A$1</f>
        <v>46185</v>
      </c>
      <c r="B158" s="105">
        <f>'12'!$B$33</f>
        <v>0</v>
      </c>
      <c r="C158" s="68">
        <f>'12'!$D$33</f>
        <v>0</v>
      </c>
    </row>
    <row r="159" spans="1:3" x14ac:dyDescent="0.3">
      <c r="A159" s="104">
        <f>'13'!$A$1</f>
        <v>46186</v>
      </c>
      <c r="B159" s="105">
        <f>'13'!$B$21</f>
        <v>0</v>
      </c>
      <c r="C159" s="68">
        <f>'13'!$D$21</f>
        <v>0</v>
      </c>
    </row>
    <row r="160" spans="1:3" x14ac:dyDescent="0.3">
      <c r="A160" s="104">
        <f>'13'!$A$1</f>
        <v>46186</v>
      </c>
      <c r="B160" s="105">
        <f>'13'!$B$22</f>
        <v>0</v>
      </c>
      <c r="C160" s="68">
        <f>'13'!$D$22</f>
        <v>0</v>
      </c>
    </row>
    <row r="161" spans="1:3" x14ac:dyDescent="0.3">
      <c r="A161" s="104">
        <f>'13'!$A$1</f>
        <v>46186</v>
      </c>
      <c r="B161" s="105">
        <f>'13'!$B$23</f>
        <v>0</v>
      </c>
      <c r="C161" s="68">
        <f>'13'!$D$23</f>
        <v>0</v>
      </c>
    </row>
    <row r="162" spans="1:3" x14ac:dyDescent="0.3">
      <c r="A162" s="104">
        <f>'13'!$A$1</f>
        <v>46186</v>
      </c>
      <c r="B162" s="105">
        <f>'13'!$B$24</f>
        <v>0</v>
      </c>
      <c r="C162" s="68">
        <f>'13'!$D$24</f>
        <v>0</v>
      </c>
    </row>
    <row r="163" spans="1:3" x14ac:dyDescent="0.3">
      <c r="A163" s="104">
        <f>'13'!$A$1</f>
        <v>46186</v>
      </c>
      <c r="B163" s="105">
        <f>'13'!$B$25</f>
        <v>0</v>
      </c>
      <c r="C163" s="68">
        <f>'13'!$D$25</f>
        <v>0</v>
      </c>
    </row>
    <row r="164" spans="1:3" x14ac:dyDescent="0.3">
      <c r="A164" s="104">
        <f>'13'!$A$1</f>
        <v>46186</v>
      </c>
      <c r="B164" s="105">
        <f>'13'!$B$26</f>
        <v>0</v>
      </c>
      <c r="C164" s="68">
        <f>'13'!$D$26</f>
        <v>0</v>
      </c>
    </row>
    <row r="165" spans="1:3" x14ac:dyDescent="0.3">
      <c r="A165" s="104">
        <f>'13'!$A$1</f>
        <v>46186</v>
      </c>
      <c r="B165" s="105">
        <f>'13'!$B$27</f>
        <v>0</v>
      </c>
      <c r="C165" s="68">
        <f>'13'!$D$27</f>
        <v>0</v>
      </c>
    </row>
    <row r="166" spans="1:3" x14ac:dyDescent="0.3">
      <c r="A166" s="104">
        <f>'13'!$A$1</f>
        <v>46186</v>
      </c>
      <c r="B166" s="105">
        <f>'13'!$B$28</f>
        <v>0</v>
      </c>
      <c r="C166" s="68">
        <f>'13'!$D$28</f>
        <v>0</v>
      </c>
    </row>
    <row r="167" spans="1:3" x14ac:dyDescent="0.3">
      <c r="A167" s="104">
        <f>'13'!$A$1</f>
        <v>46186</v>
      </c>
      <c r="B167" s="105">
        <f>'13'!$B$29</f>
        <v>0</v>
      </c>
      <c r="C167" s="68">
        <f>'13'!$D$29</f>
        <v>0</v>
      </c>
    </row>
    <row r="168" spans="1:3" x14ac:dyDescent="0.3">
      <c r="A168" s="104">
        <f>'13'!$A$1</f>
        <v>46186</v>
      </c>
      <c r="B168" s="105">
        <f>'13'!$B$30</f>
        <v>0</v>
      </c>
      <c r="C168" s="68">
        <f>'13'!$D$30</f>
        <v>0</v>
      </c>
    </row>
    <row r="169" spans="1:3" x14ac:dyDescent="0.3">
      <c r="A169" s="104">
        <f>'13'!$A$1</f>
        <v>46186</v>
      </c>
      <c r="B169" s="105">
        <f>'13'!$B$31</f>
        <v>0</v>
      </c>
      <c r="C169" s="68">
        <f>'13'!$D$31</f>
        <v>0</v>
      </c>
    </row>
    <row r="170" spans="1:3" x14ac:dyDescent="0.3">
      <c r="A170" s="104">
        <f>'13'!$A$1</f>
        <v>46186</v>
      </c>
      <c r="B170" s="105">
        <f>'13'!$B$32</f>
        <v>0</v>
      </c>
      <c r="C170" s="68">
        <f>'13'!$D$32</f>
        <v>0</v>
      </c>
    </row>
    <row r="171" spans="1:3" x14ac:dyDescent="0.3">
      <c r="A171" s="104">
        <f>'13'!$A$1</f>
        <v>46186</v>
      </c>
      <c r="B171" s="105">
        <f>'13'!$B$33</f>
        <v>0</v>
      </c>
      <c r="C171" s="68">
        <f>'13'!$D$33</f>
        <v>0</v>
      </c>
    </row>
    <row r="172" spans="1:3" x14ac:dyDescent="0.3">
      <c r="A172" s="104">
        <f>'14'!$A$1</f>
        <v>46187</v>
      </c>
      <c r="B172" s="105">
        <f>'14'!$B$21</f>
        <v>0</v>
      </c>
      <c r="C172" s="68">
        <f>'14'!$D$21</f>
        <v>0</v>
      </c>
    </row>
    <row r="173" spans="1:3" x14ac:dyDescent="0.3">
      <c r="A173" s="104">
        <f>'14'!$A$1</f>
        <v>46187</v>
      </c>
      <c r="B173" s="105">
        <f>'14'!$B$22</f>
        <v>0</v>
      </c>
      <c r="C173" s="68">
        <f>'14'!$D$22</f>
        <v>0</v>
      </c>
    </row>
    <row r="174" spans="1:3" x14ac:dyDescent="0.3">
      <c r="A174" s="104">
        <f>'14'!$A$1</f>
        <v>46187</v>
      </c>
      <c r="B174" s="105">
        <f>'14'!$B$23</f>
        <v>0</v>
      </c>
      <c r="C174" s="68">
        <f>'14'!$D$23</f>
        <v>0</v>
      </c>
    </row>
    <row r="175" spans="1:3" x14ac:dyDescent="0.3">
      <c r="A175" s="104">
        <f>'14'!$A$1</f>
        <v>46187</v>
      </c>
      <c r="B175" s="105">
        <f>'14'!$B$24</f>
        <v>0</v>
      </c>
      <c r="C175" s="68">
        <f>'14'!$D$24</f>
        <v>0</v>
      </c>
    </row>
    <row r="176" spans="1:3" x14ac:dyDescent="0.3">
      <c r="A176" s="104">
        <f>'14'!$A$1</f>
        <v>46187</v>
      </c>
      <c r="B176" s="105">
        <f>'14'!$B$25</f>
        <v>0</v>
      </c>
      <c r="C176" s="68">
        <f>'14'!$D$25</f>
        <v>0</v>
      </c>
    </row>
    <row r="177" spans="1:3" x14ac:dyDescent="0.3">
      <c r="A177" s="104">
        <f>'14'!$A$1</f>
        <v>46187</v>
      </c>
      <c r="B177" s="105">
        <f>'14'!$B$26</f>
        <v>0</v>
      </c>
      <c r="C177" s="68">
        <f>'14'!$D$26</f>
        <v>0</v>
      </c>
    </row>
    <row r="178" spans="1:3" x14ac:dyDescent="0.3">
      <c r="A178" s="104">
        <f>'14'!$A$1</f>
        <v>46187</v>
      </c>
      <c r="B178" s="105">
        <f>'14'!$B$27</f>
        <v>0</v>
      </c>
      <c r="C178" s="68">
        <f>'14'!$D$27</f>
        <v>0</v>
      </c>
    </row>
    <row r="179" spans="1:3" x14ac:dyDescent="0.3">
      <c r="A179" s="104">
        <f>'14'!$A$1</f>
        <v>46187</v>
      </c>
      <c r="B179" s="105">
        <f>'14'!$B$28</f>
        <v>0</v>
      </c>
      <c r="C179" s="68">
        <f>'14'!$D$28</f>
        <v>0</v>
      </c>
    </row>
    <row r="180" spans="1:3" x14ac:dyDescent="0.3">
      <c r="A180" s="104">
        <f>'14'!$A$1</f>
        <v>46187</v>
      </c>
      <c r="B180" s="105">
        <f>'14'!$B$29</f>
        <v>0</v>
      </c>
      <c r="C180" s="68">
        <f>'14'!$D$29</f>
        <v>0</v>
      </c>
    </row>
    <row r="181" spans="1:3" x14ac:dyDescent="0.3">
      <c r="A181" s="104">
        <f>'14'!$A$1</f>
        <v>46187</v>
      </c>
      <c r="B181" s="105">
        <f>'14'!$B$30</f>
        <v>0</v>
      </c>
      <c r="C181" s="68">
        <f>'14'!$D$30</f>
        <v>0</v>
      </c>
    </row>
    <row r="182" spans="1:3" x14ac:dyDescent="0.3">
      <c r="A182" s="104">
        <f>'14'!$A$1</f>
        <v>46187</v>
      </c>
      <c r="B182" s="105">
        <f>'14'!$B$31</f>
        <v>0</v>
      </c>
      <c r="C182" s="68">
        <f>'14'!$D$31</f>
        <v>0</v>
      </c>
    </row>
    <row r="183" spans="1:3" x14ac:dyDescent="0.3">
      <c r="A183" s="104">
        <f>'14'!$A$1</f>
        <v>46187</v>
      </c>
      <c r="B183" s="105">
        <f>'14'!$B$32</f>
        <v>0</v>
      </c>
      <c r="C183" s="68">
        <f>'14'!$D$32</f>
        <v>0</v>
      </c>
    </row>
    <row r="184" spans="1:3" x14ac:dyDescent="0.3">
      <c r="A184" s="104">
        <f>'14'!$A$1</f>
        <v>46187</v>
      </c>
      <c r="B184" s="105">
        <f>'14'!$B$33</f>
        <v>0</v>
      </c>
      <c r="C184" s="68">
        <f>'14'!$D$33</f>
        <v>0</v>
      </c>
    </row>
    <row r="185" spans="1:3" x14ac:dyDescent="0.3">
      <c r="A185" s="104">
        <f>'15'!$A$1</f>
        <v>46188</v>
      </c>
      <c r="B185" s="105">
        <f>'15'!$B$21</f>
        <v>0</v>
      </c>
      <c r="C185" s="68">
        <f>'15'!$D$21</f>
        <v>0</v>
      </c>
    </row>
    <row r="186" spans="1:3" x14ac:dyDescent="0.3">
      <c r="A186" s="104">
        <f>'15'!$A$1</f>
        <v>46188</v>
      </c>
      <c r="B186" s="105">
        <f>'15'!$B$22</f>
        <v>0</v>
      </c>
      <c r="C186" s="68">
        <f>'15'!$D$22</f>
        <v>0</v>
      </c>
    </row>
    <row r="187" spans="1:3" x14ac:dyDescent="0.3">
      <c r="A187" s="104">
        <f>'15'!$A$1</f>
        <v>46188</v>
      </c>
      <c r="B187" s="105">
        <f>'15'!$B$23</f>
        <v>0</v>
      </c>
      <c r="C187" s="68">
        <f>'15'!$D$23</f>
        <v>0</v>
      </c>
    </row>
    <row r="188" spans="1:3" x14ac:dyDescent="0.3">
      <c r="A188" s="104">
        <f>'15'!$A$1</f>
        <v>46188</v>
      </c>
      <c r="B188" s="105">
        <f>'15'!$B$24</f>
        <v>0</v>
      </c>
      <c r="C188" s="68">
        <f>'15'!$D$24</f>
        <v>0</v>
      </c>
    </row>
    <row r="189" spans="1:3" x14ac:dyDescent="0.3">
      <c r="A189" s="104">
        <f>'15'!$A$1</f>
        <v>46188</v>
      </c>
      <c r="B189" s="105">
        <f>'15'!$B$25</f>
        <v>0</v>
      </c>
      <c r="C189" s="68">
        <f>'15'!$D$25</f>
        <v>0</v>
      </c>
    </row>
    <row r="190" spans="1:3" x14ac:dyDescent="0.3">
      <c r="A190" s="104">
        <f>'15'!$A$1</f>
        <v>46188</v>
      </c>
      <c r="B190" s="105">
        <f>'15'!$B$26</f>
        <v>0</v>
      </c>
      <c r="C190" s="68">
        <f>'15'!$D$26</f>
        <v>0</v>
      </c>
    </row>
    <row r="191" spans="1:3" x14ac:dyDescent="0.3">
      <c r="A191" s="104">
        <f>'15'!$A$1</f>
        <v>46188</v>
      </c>
      <c r="B191" s="105">
        <f>'15'!$B$27</f>
        <v>0</v>
      </c>
      <c r="C191" s="68">
        <f>'15'!$D$27</f>
        <v>0</v>
      </c>
    </row>
    <row r="192" spans="1:3" x14ac:dyDescent="0.3">
      <c r="A192" s="104">
        <f>'15'!$A$1</f>
        <v>46188</v>
      </c>
      <c r="B192" s="105">
        <f>'15'!$B$28</f>
        <v>0</v>
      </c>
      <c r="C192" s="68">
        <f>'15'!$D$28</f>
        <v>0</v>
      </c>
    </row>
    <row r="193" spans="1:3" x14ac:dyDescent="0.3">
      <c r="A193" s="104">
        <f>'15'!$A$1</f>
        <v>46188</v>
      </c>
      <c r="B193" s="105">
        <f>'15'!$B$29</f>
        <v>0</v>
      </c>
      <c r="C193" s="68">
        <f>'15'!$D$29</f>
        <v>0</v>
      </c>
    </row>
    <row r="194" spans="1:3" x14ac:dyDescent="0.3">
      <c r="A194" s="104">
        <f>'15'!$A$1</f>
        <v>46188</v>
      </c>
      <c r="B194" s="105">
        <f>'15'!$B$30</f>
        <v>0</v>
      </c>
      <c r="C194" s="68">
        <f>'15'!$D$30</f>
        <v>0</v>
      </c>
    </row>
    <row r="195" spans="1:3" x14ac:dyDescent="0.3">
      <c r="A195" s="104">
        <f>'15'!$A$1</f>
        <v>46188</v>
      </c>
      <c r="B195" s="105">
        <f>'15'!$B$31</f>
        <v>0</v>
      </c>
      <c r="C195" s="68">
        <f>'15'!$D$31</f>
        <v>0</v>
      </c>
    </row>
    <row r="196" spans="1:3" x14ac:dyDescent="0.3">
      <c r="A196" s="104">
        <f>'15'!$A$1</f>
        <v>46188</v>
      </c>
      <c r="B196" s="105">
        <f>'15'!$B$32</f>
        <v>0</v>
      </c>
      <c r="C196" s="68">
        <f>'15'!$D$32</f>
        <v>0</v>
      </c>
    </row>
    <row r="197" spans="1:3" x14ac:dyDescent="0.3">
      <c r="A197" s="104">
        <f>'15'!$A$1</f>
        <v>46188</v>
      </c>
      <c r="B197" s="105">
        <f>'15'!$B$33</f>
        <v>0</v>
      </c>
      <c r="C197" s="68">
        <f>'15'!$D$33</f>
        <v>0</v>
      </c>
    </row>
    <row r="198" spans="1:3" x14ac:dyDescent="0.3">
      <c r="A198" s="104">
        <f>'16'!$A$1</f>
        <v>46189</v>
      </c>
      <c r="B198" s="105">
        <f>'16'!$B$21</f>
        <v>0</v>
      </c>
      <c r="C198" s="68">
        <f>'16'!$D$21</f>
        <v>0</v>
      </c>
    </row>
    <row r="199" spans="1:3" x14ac:dyDescent="0.3">
      <c r="A199" s="104">
        <f>'16'!$A$1</f>
        <v>46189</v>
      </c>
      <c r="B199" s="105">
        <f>'16'!$B$22</f>
        <v>0</v>
      </c>
      <c r="C199" s="68">
        <f>'16'!$D$22</f>
        <v>0</v>
      </c>
    </row>
    <row r="200" spans="1:3" x14ac:dyDescent="0.3">
      <c r="A200" s="104">
        <f>'16'!$A$1</f>
        <v>46189</v>
      </c>
      <c r="B200" s="105">
        <f>'16'!$B$23</f>
        <v>0</v>
      </c>
      <c r="C200" s="68">
        <f>'16'!$D$23</f>
        <v>0</v>
      </c>
    </row>
    <row r="201" spans="1:3" x14ac:dyDescent="0.3">
      <c r="A201" s="104">
        <f>'16'!$A$1</f>
        <v>46189</v>
      </c>
      <c r="B201" s="105">
        <f>'16'!$B$24</f>
        <v>0</v>
      </c>
      <c r="C201" s="68">
        <f>'16'!$D$24</f>
        <v>0</v>
      </c>
    </row>
    <row r="202" spans="1:3" x14ac:dyDescent="0.3">
      <c r="A202" s="104">
        <f>'16'!$A$1</f>
        <v>46189</v>
      </c>
      <c r="B202" s="105">
        <f>'16'!$B$25</f>
        <v>0</v>
      </c>
      <c r="C202" s="68">
        <f>'16'!$D$25</f>
        <v>0</v>
      </c>
    </row>
    <row r="203" spans="1:3" x14ac:dyDescent="0.3">
      <c r="A203" s="104">
        <f>'16'!$A$1</f>
        <v>46189</v>
      </c>
      <c r="B203" s="105">
        <f>'16'!$B$26</f>
        <v>0</v>
      </c>
      <c r="C203" s="68">
        <f>'16'!$D$26</f>
        <v>0</v>
      </c>
    </row>
    <row r="204" spans="1:3" x14ac:dyDescent="0.3">
      <c r="A204" s="104">
        <f>'16'!$A$1</f>
        <v>46189</v>
      </c>
      <c r="B204" s="105">
        <f>'16'!$B$27</f>
        <v>0</v>
      </c>
      <c r="C204" s="68">
        <f>'16'!$D$27</f>
        <v>0</v>
      </c>
    </row>
    <row r="205" spans="1:3" x14ac:dyDescent="0.3">
      <c r="A205" s="104">
        <f>'16'!$A$1</f>
        <v>46189</v>
      </c>
      <c r="B205" s="105">
        <f>'16'!$B$28</f>
        <v>0</v>
      </c>
      <c r="C205" s="68">
        <f>'16'!$D$28</f>
        <v>0</v>
      </c>
    </row>
    <row r="206" spans="1:3" x14ac:dyDescent="0.3">
      <c r="A206" s="104">
        <f>'16'!$A$1</f>
        <v>46189</v>
      </c>
      <c r="B206" s="105">
        <f>'16'!$B$29</f>
        <v>0</v>
      </c>
      <c r="C206" s="68">
        <f>'16'!$D$29</f>
        <v>0</v>
      </c>
    </row>
    <row r="207" spans="1:3" x14ac:dyDescent="0.3">
      <c r="A207" s="104">
        <f>'16'!$A$1</f>
        <v>46189</v>
      </c>
      <c r="B207" s="105">
        <f>'16'!$B$30</f>
        <v>0</v>
      </c>
      <c r="C207" s="68">
        <f>'16'!$D$30</f>
        <v>0</v>
      </c>
    </row>
    <row r="208" spans="1:3" x14ac:dyDescent="0.3">
      <c r="A208" s="104">
        <f>'16'!$A$1</f>
        <v>46189</v>
      </c>
      <c r="B208" s="105">
        <f>'16'!$B$31</f>
        <v>0</v>
      </c>
      <c r="C208" s="68">
        <f>'16'!$D$31</f>
        <v>0</v>
      </c>
    </row>
    <row r="209" spans="1:3" x14ac:dyDescent="0.3">
      <c r="A209" s="104">
        <f>'16'!$A$1</f>
        <v>46189</v>
      </c>
      <c r="B209" s="105">
        <f>'16'!$B$32</f>
        <v>0</v>
      </c>
      <c r="C209" s="68">
        <f>'16'!$D$32</f>
        <v>0</v>
      </c>
    </row>
    <row r="210" spans="1:3" x14ac:dyDescent="0.3">
      <c r="A210" s="104">
        <f>'16'!$A$1</f>
        <v>46189</v>
      </c>
      <c r="B210" s="105">
        <f>'16'!$B$33</f>
        <v>0</v>
      </c>
      <c r="C210" s="68">
        <f>'16'!$D$33</f>
        <v>0</v>
      </c>
    </row>
    <row r="211" spans="1:3" x14ac:dyDescent="0.3">
      <c r="A211" s="104">
        <f>'17'!$A$1</f>
        <v>46190</v>
      </c>
      <c r="B211" s="105">
        <f>'17'!$B$21</f>
        <v>0</v>
      </c>
      <c r="C211" s="68">
        <f>'17'!$D$21</f>
        <v>0</v>
      </c>
    </row>
    <row r="212" spans="1:3" x14ac:dyDescent="0.3">
      <c r="A212" s="104">
        <f>'17'!$A$1</f>
        <v>46190</v>
      </c>
      <c r="B212" s="105">
        <f>'17'!$B$22</f>
        <v>0</v>
      </c>
      <c r="C212" s="68">
        <f>'17'!$D$22</f>
        <v>0</v>
      </c>
    </row>
    <row r="213" spans="1:3" x14ac:dyDescent="0.3">
      <c r="A213" s="104">
        <f>'17'!$A$1</f>
        <v>46190</v>
      </c>
      <c r="B213" s="105">
        <f>'17'!$B$23</f>
        <v>0</v>
      </c>
      <c r="C213" s="68">
        <f>'17'!$D$23</f>
        <v>0</v>
      </c>
    </row>
    <row r="214" spans="1:3" x14ac:dyDescent="0.3">
      <c r="A214" s="104">
        <f>'17'!$A$1</f>
        <v>46190</v>
      </c>
      <c r="B214" s="105">
        <f>'17'!$B$24</f>
        <v>0</v>
      </c>
      <c r="C214" s="68">
        <f>'17'!$D$24</f>
        <v>0</v>
      </c>
    </row>
    <row r="215" spans="1:3" x14ac:dyDescent="0.3">
      <c r="A215" s="104">
        <f>'17'!$A$1</f>
        <v>46190</v>
      </c>
      <c r="B215" s="105">
        <f>'17'!$B$25</f>
        <v>0</v>
      </c>
      <c r="C215" s="68">
        <f>'17'!$D$25</f>
        <v>0</v>
      </c>
    </row>
    <row r="216" spans="1:3" x14ac:dyDescent="0.3">
      <c r="A216" s="104">
        <f>'17'!$A$1</f>
        <v>46190</v>
      </c>
      <c r="B216" s="105">
        <f>'17'!$B$26</f>
        <v>0</v>
      </c>
      <c r="C216" s="68">
        <f>'17'!$D$26</f>
        <v>0</v>
      </c>
    </row>
    <row r="217" spans="1:3" x14ac:dyDescent="0.3">
      <c r="A217" s="104">
        <f>'17'!$A$1</f>
        <v>46190</v>
      </c>
      <c r="B217" s="105">
        <f>'17'!$B$27</f>
        <v>0</v>
      </c>
      <c r="C217" s="68">
        <f>'17'!$D$27</f>
        <v>0</v>
      </c>
    </row>
    <row r="218" spans="1:3" x14ac:dyDescent="0.3">
      <c r="A218" s="104">
        <f>'17'!$A$1</f>
        <v>46190</v>
      </c>
      <c r="B218" s="105">
        <f>'17'!$B$28</f>
        <v>0</v>
      </c>
      <c r="C218" s="68">
        <f>'17'!$D$28</f>
        <v>0</v>
      </c>
    </row>
    <row r="219" spans="1:3" x14ac:dyDescent="0.3">
      <c r="A219" s="104">
        <f>'17'!$A$1</f>
        <v>46190</v>
      </c>
      <c r="B219" s="105">
        <f>'17'!$B$29</f>
        <v>0</v>
      </c>
      <c r="C219" s="68">
        <f>'17'!$D$29</f>
        <v>0</v>
      </c>
    </row>
    <row r="220" spans="1:3" x14ac:dyDescent="0.3">
      <c r="A220" s="104">
        <f>'17'!$A$1</f>
        <v>46190</v>
      </c>
      <c r="B220" s="105">
        <f>'17'!$B$30</f>
        <v>0</v>
      </c>
      <c r="C220" s="68">
        <f>'17'!$D$30</f>
        <v>0</v>
      </c>
    </row>
    <row r="221" spans="1:3" x14ac:dyDescent="0.3">
      <c r="A221" s="104">
        <f>'17'!$A$1</f>
        <v>46190</v>
      </c>
      <c r="B221" s="105">
        <f>'17'!$B$31</f>
        <v>0</v>
      </c>
      <c r="C221" s="68">
        <f>'17'!$D$31</f>
        <v>0</v>
      </c>
    </row>
    <row r="222" spans="1:3" x14ac:dyDescent="0.3">
      <c r="A222" s="104">
        <f>'17'!$A$1</f>
        <v>46190</v>
      </c>
      <c r="B222" s="105">
        <f>'17'!$B$32</f>
        <v>0</v>
      </c>
      <c r="C222" s="68">
        <f>'17'!$D$32</f>
        <v>0</v>
      </c>
    </row>
    <row r="223" spans="1:3" x14ac:dyDescent="0.3">
      <c r="A223" s="104">
        <f>'17'!$A$1</f>
        <v>46190</v>
      </c>
      <c r="B223" s="105">
        <f>'17'!$B$33</f>
        <v>0</v>
      </c>
      <c r="C223" s="68">
        <f>'17'!$D$33</f>
        <v>0</v>
      </c>
    </row>
    <row r="224" spans="1:3" x14ac:dyDescent="0.3">
      <c r="A224" s="104">
        <f>'18'!$A$1</f>
        <v>46191</v>
      </c>
      <c r="B224" s="105">
        <f>'18'!$B$21</f>
        <v>0</v>
      </c>
      <c r="C224" s="68">
        <f>'18'!$D$21</f>
        <v>0</v>
      </c>
    </row>
    <row r="225" spans="1:3" x14ac:dyDescent="0.3">
      <c r="A225" s="104">
        <f>'18'!$A$1</f>
        <v>46191</v>
      </c>
      <c r="B225" s="105">
        <f>'18'!$B$22</f>
        <v>0</v>
      </c>
      <c r="C225" s="68">
        <f>'18'!$D$22</f>
        <v>0</v>
      </c>
    </row>
    <row r="226" spans="1:3" x14ac:dyDescent="0.3">
      <c r="A226" s="104">
        <f>'18'!$A$1</f>
        <v>46191</v>
      </c>
      <c r="B226" s="105">
        <f>'18'!$B$23</f>
        <v>0</v>
      </c>
      <c r="C226" s="68">
        <f>'18'!$D$23</f>
        <v>0</v>
      </c>
    </row>
    <row r="227" spans="1:3" x14ac:dyDescent="0.3">
      <c r="A227" s="104">
        <f>'18'!$A$1</f>
        <v>46191</v>
      </c>
      <c r="B227" s="105">
        <f>'18'!$B$24</f>
        <v>0</v>
      </c>
      <c r="C227" s="68">
        <f>'18'!$D$24</f>
        <v>0</v>
      </c>
    </row>
    <row r="228" spans="1:3" x14ac:dyDescent="0.3">
      <c r="A228" s="104">
        <f>'18'!$A$1</f>
        <v>46191</v>
      </c>
      <c r="B228" s="105">
        <f>'18'!$B$25</f>
        <v>0</v>
      </c>
      <c r="C228" s="68">
        <f>'18'!$D$25</f>
        <v>0</v>
      </c>
    </row>
    <row r="229" spans="1:3" x14ac:dyDescent="0.3">
      <c r="A229" s="104">
        <f>'18'!$A$1</f>
        <v>46191</v>
      </c>
      <c r="B229" s="105">
        <f>'18'!$B$26</f>
        <v>0</v>
      </c>
      <c r="C229" s="68">
        <f>'18'!$D$26</f>
        <v>0</v>
      </c>
    </row>
    <row r="230" spans="1:3" x14ac:dyDescent="0.3">
      <c r="A230" s="104">
        <f>'18'!$A$1</f>
        <v>46191</v>
      </c>
      <c r="B230" s="105">
        <f>'18'!$B$27</f>
        <v>0</v>
      </c>
      <c r="C230" s="68">
        <f>'18'!$D$27</f>
        <v>0</v>
      </c>
    </row>
    <row r="231" spans="1:3" x14ac:dyDescent="0.3">
      <c r="A231" s="104">
        <f>'18'!$A$1</f>
        <v>46191</v>
      </c>
      <c r="B231" s="105">
        <f>'18'!$B$28</f>
        <v>0</v>
      </c>
      <c r="C231" s="68">
        <f>'18'!$D$28</f>
        <v>0</v>
      </c>
    </row>
    <row r="232" spans="1:3" x14ac:dyDescent="0.3">
      <c r="A232" s="104">
        <f>'18'!$A$1</f>
        <v>46191</v>
      </c>
      <c r="B232" s="105">
        <f>'18'!$B$29</f>
        <v>0</v>
      </c>
      <c r="C232" s="68">
        <f>'18'!$D$29</f>
        <v>0</v>
      </c>
    </row>
    <row r="233" spans="1:3" x14ac:dyDescent="0.3">
      <c r="A233" s="104">
        <f>'18'!$A$1</f>
        <v>46191</v>
      </c>
      <c r="B233" s="105">
        <f>'18'!$B$30</f>
        <v>0</v>
      </c>
      <c r="C233" s="68">
        <f>'18'!$D$30</f>
        <v>0</v>
      </c>
    </row>
    <row r="234" spans="1:3" x14ac:dyDescent="0.3">
      <c r="A234" s="104">
        <f>'18'!$A$1</f>
        <v>46191</v>
      </c>
      <c r="B234" s="105">
        <f>'18'!$B$31</f>
        <v>0</v>
      </c>
      <c r="C234" s="68">
        <f>'18'!$D$31</f>
        <v>0</v>
      </c>
    </row>
    <row r="235" spans="1:3" x14ac:dyDescent="0.3">
      <c r="A235" s="104">
        <f>'18'!$A$1</f>
        <v>46191</v>
      </c>
      <c r="B235" s="105">
        <f>'18'!$B$32</f>
        <v>0</v>
      </c>
      <c r="C235" s="68">
        <f>'18'!$D$32</f>
        <v>0</v>
      </c>
    </row>
    <row r="236" spans="1:3" x14ac:dyDescent="0.3">
      <c r="A236" s="104">
        <f>'18'!$A$1</f>
        <v>46191</v>
      </c>
      <c r="B236" s="105">
        <f>'18'!$B$33</f>
        <v>0</v>
      </c>
      <c r="C236" s="68">
        <f>'18'!$D$33</f>
        <v>0</v>
      </c>
    </row>
    <row r="237" spans="1:3" x14ac:dyDescent="0.3">
      <c r="A237" s="104">
        <f>'19'!$A$1</f>
        <v>46192</v>
      </c>
      <c r="B237" s="105">
        <f>'19'!$B$21</f>
        <v>0</v>
      </c>
      <c r="C237" s="68">
        <f>'19'!$D$21</f>
        <v>0</v>
      </c>
    </row>
    <row r="238" spans="1:3" x14ac:dyDescent="0.3">
      <c r="A238" s="104">
        <f>'19'!$A$1</f>
        <v>46192</v>
      </c>
      <c r="B238" s="105">
        <f>'19'!$B$22</f>
        <v>0</v>
      </c>
      <c r="C238" s="68">
        <f>'19'!$D$22</f>
        <v>0</v>
      </c>
    </row>
    <row r="239" spans="1:3" x14ac:dyDescent="0.3">
      <c r="A239" s="104">
        <f>'19'!$A$1</f>
        <v>46192</v>
      </c>
      <c r="B239" s="105">
        <f>'19'!$B$23</f>
        <v>0</v>
      </c>
      <c r="C239" s="68">
        <f>'19'!$D$23</f>
        <v>0</v>
      </c>
    </row>
    <row r="240" spans="1:3" x14ac:dyDescent="0.3">
      <c r="A240" s="104">
        <f>'19'!$A$1</f>
        <v>46192</v>
      </c>
      <c r="B240" s="105">
        <f>'19'!$B$24</f>
        <v>0</v>
      </c>
      <c r="C240" s="68">
        <f>'19'!$D$24</f>
        <v>0</v>
      </c>
    </row>
    <row r="241" spans="1:3" x14ac:dyDescent="0.3">
      <c r="A241" s="104">
        <f>'19'!$A$1</f>
        <v>46192</v>
      </c>
      <c r="B241" s="105">
        <f>'19'!$B$25</f>
        <v>0</v>
      </c>
      <c r="C241" s="68">
        <f>'19'!$D$25</f>
        <v>0</v>
      </c>
    </row>
    <row r="242" spans="1:3" x14ac:dyDescent="0.3">
      <c r="A242" s="104">
        <f>'19'!$A$1</f>
        <v>46192</v>
      </c>
      <c r="B242" s="105">
        <f>'19'!$B$26</f>
        <v>0</v>
      </c>
      <c r="C242" s="68">
        <f>'19'!$D$26</f>
        <v>0</v>
      </c>
    </row>
    <row r="243" spans="1:3" x14ac:dyDescent="0.3">
      <c r="A243" s="104">
        <f>'19'!$A$1</f>
        <v>46192</v>
      </c>
      <c r="B243" s="105">
        <f>'19'!$B$27</f>
        <v>0</v>
      </c>
      <c r="C243" s="68">
        <f>'19'!$D$27</f>
        <v>0</v>
      </c>
    </row>
    <row r="244" spans="1:3" x14ac:dyDescent="0.3">
      <c r="A244" s="104">
        <f>'19'!$A$1</f>
        <v>46192</v>
      </c>
      <c r="B244" s="105">
        <f>'19'!$B$28</f>
        <v>0</v>
      </c>
      <c r="C244" s="68">
        <f>'19'!$D$28</f>
        <v>0</v>
      </c>
    </row>
    <row r="245" spans="1:3" x14ac:dyDescent="0.3">
      <c r="A245" s="104">
        <f>'19'!$A$1</f>
        <v>46192</v>
      </c>
      <c r="B245" s="105">
        <f>'19'!$B$29</f>
        <v>0</v>
      </c>
      <c r="C245" s="68">
        <f>'19'!$D$29</f>
        <v>0</v>
      </c>
    </row>
    <row r="246" spans="1:3" x14ac:dyDescent="0.3">
      <c r="A246" s="104">
        <f>'19'!$A$1</f>
        <v>46192</v>
      </c>
      <c r="B246" s="105">
        <f>'19'!$B$30</f>
        <v>0</v>
      </c>
      <c r="C246" s="68">
        <f>'19'!$D$30</f>
        <v>0</v>
      </c>
    </row>
    <row r="247" spans="1:3" x14ac:dyDescent="0.3">
      <c r="A247" s="104">
        <f>'19'!$A$1</f>
        <v>46192</v>
      </c>
      <c r="B247" s="105">
        <f>'19'!$B$31</f>
        <v>0</v>
      </c>
      <c r="C247" s="68">
        <f>'19'!$D$31</f>
        <v>0</v>
      </c>
    </row>
    <row r="248" spans="1:3" x14ac:dyDescent="0.3">
      <c r="A248" s="104">
        <f>'19'!$A$1</f>
        <v>46192</v>
      </c>
      <c r="B248" s="105">
        <f>'19'!$B$32</f>
        <v>0</v>
      </c>
      <c r="C248" s="68">
        <f>'19'!$D$32</f>
        <v>0</v>
      </c>
    </row>
    <row r="249" spans="1:3" x14ac:dyDescent="0.3">
      <c r="A249" s="104">
        <f>'19'!$A$1</f>
        <v>46192</v>
      </c>
      <c r="B249" s="105">
        <f>'19'!$B$33</f>
        <v>0</v>
      </c>
      <c r="C249" s="68">
        <f>'19'!$D$33</f>
        <v>0</v>
      </c>
    </row>
    <row r="250" spans="1:3" x14ac:dyDescent="0.3">
      <c r="A250" s="104">
        <f>'20'!$A$1</f>
        <v>46193</v>
      </c>
      <c r="B250" s="105">
        <f>'20'!$B$21</f>
        <v>0</v>
      </c>
      <c r="C250" s="68">
        <f>'20'!$D$21</f>
        <v>0</v>
      </c>
    </row>
    <row r="251" spans="1:3" x14ac:dyDescent="0.3">
      <c r="A251" s="104">
        <f>'20'!$A$1</f>
        <v>46193</v>
      </c>
      <c r="B251" s="105">
        <f>'20'!$B$22</f>
        <v>0</v>
      </c>
      <c r="C251" s="68">
        <f>'20'!$D$22</f>
        <v>0</v>
      </c>
    </row>
    <row r="252" spans="1:3" x14ac:dyDescent="0.3">
      <c r="A252" s="104">
        <f>'20'!$A$1</f>
        <v>46193</v>
      </c>
      <c r="B252" s="105">
        <f>'20'!$B$23</f>
        <v>0</v>
      </c>
      <c r="C252" s="68">
        <f>'20'!$D$23</f>
        <v>0</v>
      </c>
    </row>
    <row r="253" spans="1:3" x14ac:dyDescent="0.3">
      <c r="A253" s="104">
        <f>'20'!$A$1</f>
        <v>46193</v>
      </c>
      <c r="B253" s="105">
        <f>'20'!$B$24</f>
        <v>0</v>
      </c>
      <c r="C253" s="68">
        <f>'20'!$D$24</f>
        <v>0</v>
      </c>
    </row>
    <row r="254" spans="1:3" x14ac:dyDescent="0.3">
      <c r="A254" s="104">
        <f>'20'!$A$1</f>
        <v>46193</v>
      </c>
      <c r="B254" s="105">
        <f>'20'!$B$25</f>
        <v>0</v>
      </c>
      <c r="C254" s="68">
        <f>'20'!$D$25</f>
        <v>0</v>
      </c>
    </row>
    <row r="255" spans="1:3" x14ac:dyDescent="0.3">
      <c r="A255" s="104">
        <f>'20'!$A$1</f>
        <v>46193</v>
      </c>
      <c r="B255" s="105">
        <f>'20'!$B$26</f>
        <v>0</v>
      </c>
      <c r="C255" s="68">
        <f>'20'!$D$26</f>
        <v>0</v>
      </c>
    </row>
    <row r="256" spans="1:3" x14ac:dyDescent="0.3">
      <c r="A256" s="104">
        <f>'20'!$A$1</f>
        <v>46193</v>
      </c>
      <c r="B256" s="105">
        <f>'20'!$B$27</f>
        <v>0</v>
      </c>
      <c r="C256" s="68">
        <f>'20'!$D$27</f>
        <v>0</v>
      </c>
    </row>
    <row r="257" spans="1:3" x14ac:dyDescent="0.3">
      <c r="A257" s="104">
        <f>'20'!$A$1</f>
        <v>46193</v>
      </c>
      <c r="B257" s="105">
        <f>'20'!$B$28</f>
        <v>0</v>
      </c>
      <c r="C257" s="68">
        <f>'20'!$D$28</f>
        <v>0</v>
      </c>
    </row>
    <row r="258" spans="1:3" x14ac:dyDescent="0.3">
      <c r="A258" s="104">
        <f>'20'!$A$1</f>
        <v>46193</v>
      </c>
      <c r="B258" s="105">
        <f>'20'!$B$29</f>
        <v>0</v>
      </c>
      <c r="C258" s="68">
        <f>'20'!$D$29</f>
        <v>0</v>
      </c>
    </row>
    <row r="259" spans="1:3" x14ac:dyDescent="0.3">
      <c r="A259" s="104">
        <f>'20'!$A$1</f>
        <v>46193</v>
      </c>
      <c r="B259" s="105">
        <f>'20'!$B$30</f>
        <v>0</v>
      </c>
      <c r="C259" s="68">
        <f>'20'!$D$30</f>
        <v>0</v>
      </c>
    </row>
    <row r="260" spans="1:3" x14ac:dyDescent="0.3">
      <c r="A260" s="104">
        <f>'20'!$A$1</f>
        <v>46193</v>
      </c>
      <c r="B260" s="105">
        <f>'20'!$B$31</f>
        <v>0</v>
      </c>
      <c r="C260" s="68">
        <f>'20'!$D$31</f>
        <v>0</v>
      </c>
    </row>
    <row r="261" spans="1:3" x14ac:dyDescent="0.3">
      <c r="A261" s="104">
        <f>'20'!$A$1</f>
        <v>46193</v>
      </c>
      <c r="B261" s="105">
        <f>'20'!$B$32</f>
        <v>0</v>
      </c>
      <c r="C261" s="68">
        <f>'20'!$D$32</f>
        <v>0</v>
      </c>
    </row>
    <row r="262" spans="1:3" x14ac:dyDescent="0.3">
      <c r="A262" s="104">
        <f>'20'!$A$1</f>
        <v>46193</v>
      </c>
      <c r="B262" s="105">
        <f>'20'!$B$33</f>
        <v>0</v>
      </c>
      <c r="C262" s="68">
        <f>'20'!$D$33</f>
        <v>0</v>
      </c>
    </row>
    <row r="263" spans="1:3" x14ac:dyDescent="0.3">
      <c r="A263" s="104">
        <f>'21'!$A$1</f>
        <v>46194</v>
      </c>
      <c r="B263" s="105">
        <f>'21'!$B$21</f>
        <v>0</v>
      </c>
      <c r="C263" s="68">
        <f>'21'!$D$21</f>
        <v>0</v>
      </c>
    </row>
    <row r="264" spans="1:3" x14ac:dyDescent="0.3">
      <c r="A264" s="104">
        <f>'21'!$A$1</f>
        <v>46194</v>
      </c>
      <c r="B264" s="105">
        <f>'21'!$B$22</f>
        <v>0</v>
      </c>
      <c r="C264" s="68">
        <f>'21'!$D$22</f>
        <v>0</v>
      </c>
    </row>
    <row r="265" spans="1:3" x14ac:dyDescent="0.3">
      <c r="A265" s="104">
        <f>'21'!$A$1</f>
        <v>46194</v>
      </c>
      <c r="B265" s="105">
        <f>'21'!$B$23</f>
        <v>0</v>
      </c>
      <c r="C265" s="68">
        <f>'21'!$D$23</f>
        <v>0</v>
      </c>
    </row>
    <row r="266" spans="1:3" x14ac:dyDescent="0.3">
      <c r="A266" s="104">
        <f>'21'!$A$1</f>
        <v>46194</v>
      </c>
      <c r="B266" s="105">
        <f>'21'!$B$24</f>
        <v>0</v>
      </c>
      <c r="C266" s="68">
        <f>'21'!$D$24</f>
        <v>0</v>
      </c>
    </row>
    <row r="267" spans="1:3" x14ac:dyDescent="0.3">
      <c r="A267" s="104">
        <f>'21'!$A$1</f>
        <v>46194</v>
      </c>
      <c r="B267" s="105">
        <f>'21'!$B$25</f>
        <v>0</v>
      </c>
      <c r="C267" s="68">
        <f>'21'!$D$25</f>
        <v>0</v>
      </c>
    </row>
    <row r="268" spans="1:3" x14ac:dyDescent="0.3">
      <c r="A268" s="104">
        <f>'21'!$A$1</f>
        <v>46194</v>
      </c>
      <c r="B268" s="105">
        <f>'21'!$B$26</f>
        <v>0</v>
      </c>
      <c r="C268" s="68">
        <f>'21'!$D$26</f>
        <v>0</v>
      </c>
    </row>
    <row r="269" spans="1:3" x14ac:dyDescent="0.3">
      <c r="A269" s="104">
        <f>'21'!$A$1</f>
        <v>46194</v>
      </c>
      <c r="B269" s="105">
        <f>'21'!$B$27</f>
        <v>0</v>
      </c>
      <c r="C269" s="68">
        <f>'21'!$D$27</f>
        <v>0</v>
      </c>
    </row>
    <row r="270" spans="1:3" x14ac:dyDescent="0.3">
      <c r="A270" s="104">
        <f>'21'!$A$1</f>
        <v>46194</v>
      </c>
      <c r="B270" s="105">
        <f>'21'!$B$28</f>
        <v>0</v>
      </c>
      <c r="C270" s="68">
        <f>'21'!$D$28</f>
        <v>0</v>
      </c>
    </row>
    <row r="271" spans="1:3" x14ac:dyDescent="0.3">
      <c r="A271" s="104">
        <f>'21'!$A$1</f>
        <v>46194</v>
      </c>
      <c r="B271" s="105">
        <f>'21'!$B$29</f>
        <v>0</v>
      </c>
      <c r="C271" s="68">
        <f>'21'!$D$29</f>
        <v>0</v>
      </c>
    </row>
    <row r="272" spans="1:3" x14ac:dyDescent="0.3">
      <c r="A272" s="104">
        <f>'21'!$A$1</f>
        <v>46194</v>
      </c>
      <c r="B272" s="105">
        <f>'21'!$B$30</f>
        <v>0</v>
      </c>
      <c r="C272" s="68">
        <f>'21'!$D$30</f>
        <v>0</v>
      </c>
    </row>
    <row r="273" spans="1:3" x14ac:dyDescent="0.3">
      <c r="A273" s="104">
        <f>'21'!$A$1</f>
        <v>46194</v>
      </c>
      <c r="B273" s="105">
        <f>'21'!$B$31</f>
        <v>0</v>
      </c>
      <c r="C273" s="68">
        <f>'21'!$D$31</f>
        <v>0</v>
      </c>
    </row>
    <row r="274" spans="1:3" x14ac:dyDescent="0.3">
      <c r="A274" s="104">
        <f>'21'!$A$1</f>
        <v>46194</v>
      </c>
      <c r="B274" s="105">
        <f>'21'!$B$32</f>
        <v>0</v>
      </c>
      <c r="C274" s="68">
        <f>'21'!$D$32</f>
        <v>0</v>
      </c>
    </row>
    <row r="275" spans="1:3" x14ac:dyDescent="0.3">
      <c r="A275" s="104">
        <f>'21'!$A$1</f>
        <v>46194</v>
      </c>
      <c r="B275" s="105">
        <f>'21'!$B$33</f>
        <v>0</v>
      </c>
      <c r="C275" s="68">
        <f>'21'!$D$33</f>
        <v>0</v>
      </c>
    </row>
    <row r="276" spans="1:3" x14ac:dyDescent="0.3">
      <c r="A276" s="104">
        <f>'22'!$A$1</f>
        <v>46195</v>
      </c>
      <c r="B276" s="105">
        <f>'22'!$B$21</f>
        <v>0</v>
      </c>
      <c r="C276" s="68">
        <f>'22'!$D$21</f>
        <v>0</v>
      </c>
    </row>
    <row r="277" spans="1:3" x14ac:dyDescent="0.3">
      <c r="A277" s="104">
        <f>'22'!$A$1</f>
        <v>46195</v>
      </c>
      <c r="B277" s="105">
        <f>'22'!$B$22</f>
        <v>0</v>
      </c>
      <c r="C277" s="68">
        <f>'22'!$D$22</f>
        <v>0</v>
      </c>
    </row>
    <row r="278" spans="1:3" x14ac:dyDescent="0.3">
      <c r="A278" s="104">
        <f>'22'!$A$1</f>
        <v>46195</v>
      </c>
      <c r="B278" s="105">
        <f>'22'!$B$23</f>
        <v>0</v>
      </c>
      <c r="C278" s="68">
        <f>'22'!$D$23</f>
        <v>0</v>
      </c>
    </row>
    <row r="279" spans="1:3" x14ac:dyDescent="0.3">
      <c r="A279" s="104">
        <f>'22'!$A$1</f>
        <v>46195</v>
      </c>
      <c r="B279" s="105">
        <f>'22'!$B$24</f>
        <v>0</v>
      </c>
      <c r="C279" s="68">
        <f>'22'!$D$24</f>
        <v>0</v>
      </c>
    </row>
    <row r="280" spans="1:3" x14ac:dyDescent="0.3">
      <c r="A280" s="104">
        <f>'22'!$A$1</f>
        <v>46195</v>
      </c>
      <c r="B280" s="105">
        <f>'22'!$B$25</f>
        <v>0</v>
      </c>
      <c r="C280" s="68">
        <f>'22'!$D$25</f>
        <v>0</v>
      </c>
    </row>
    <row r="281" spans="1:3" x14ac:dyDescent="0.3">
      <c r="A281" s="104">
        <f>'22'!$A$1</f>
        <v>46195</v>
      </c>
      <c r="B281" s="105">
        <f>'22'!$B$26</f>
        <v>0</v>
      </c>
      <c r="C281" s="68">
        <f>'22'!$D$26</f>
        <v>0</v>
      </c>
    </row>
    <row r="282" spans="1:3" x14ac:dyDescent="0.3">
      <c r="A282" s="104">
        <f>'22'!$A$1</f>
        <v>46195</v>
      </c>
      <c r="B282" s="105">
        <f>'22'!$B$27</f>
        <v>0</v>
      </c>
      <c r="C282" s="68">
        <f>'22'!$D$27</f>
        <v>0</v>
      </c>
    </row>
    <row r="283" spans="1:3" x14ac:dyDescent="0.3">
      <c r="A283" s="104">
        <f>'22'!$A$1</f>
        <v>46195</v>
      </c>
      <c r="B283" s="105">
        <f>'22'!$B$28</f>
        <v>0</v>
      </c>
      <c r="C283" s="68">
        <f>'22'!$D$28</f>
        <v>0</v>
      </c>
    </row>
    <row r="284" spans="1:3" x14ac:dyDescent="0.3">
      <c r="A284" s="104">
        <f>'22'!$A$1</f>
        <v>46195</v>
      </c>
      <c r="B284" s="105">
        <f>'22'!$B$29</f>
        <v>0</v>
      </c>
      <c r="C284" s="68">
        <f>'22'!$D$29</f>
        <v>0</v>
      </c>
    </row>
    <row r="285" spans="1:3" x14ac:dyDescent="0.3">
      <c r="A285" s="104">
        <f>'22'!$A$1</f>
        <v>46195</v>
      </c>
      <c r="B285" s="105">
        <f>'22'!$B$30</f>
        <v>0</v>
      </c>
      <c r="C285" s="68">
        <f>'22'!$D$30</f>
        <v>0</v>
      </c>
    </row>
    <row r="286" spans="1:3" x14ac:dyDescent="0.3">
      <c r="A286" s="104">
        <f>'22'!$A$1</f>
        <v>46195</v>
      </c>
      <c r="B286" s="105">
        <f>'22'!$B$31</f>
        <v>0</v>
      </c>
      <c r="C286" s="68">
        <f>'22'!$D$31</f>
        <v>0</v>
      </c>
    </row>
    <row r="287" spans="1:3" x14ac:dyDescent="0.3">
      <c r="A287" s="104">
        <f>'22'!$A$1</f>
        <v>46195</v>
      </c>
      <c r="B287" s="105">
        <f>'22'!$B$32</f>
        <v>0</v>
      </c>
      <c r="C287" s="68">
        <f>'22'!$D$32</f>
        <v>0</v>
      </c>
    </row>
    <row r="288" spans="1:3" x14ac:dyDescent="0.3">
      <c r="A288" s="104">
        <f>'22'!$A$1</f>
        <v>46195</v>
      </c>
      <c r="B288" s="105">
        <f>'22'!$B$33</f>
        <v>0</v>
      </c>
      <c r="C288" s="68">
        <f>'22'!$D$33</f>
        <v>0</v>
      </c>
    </row>
    <row r="289" spans="1:3" x14ac:dyDescent="0.3">
      <c r="A289" s="104">
        <f>'23'!$A$1</f>
        <v>46196</v>
      </c>
      <c r="B289" s="105">
        <f>'23'!$B$21</f>
        <v>0</v>
      </c>
      <c r="C289" s="68">
        <f>'23'!$D$21</f>
        <v>0</v>
      </c>
    </row>
    <row r="290" spans="1:3" x14ac:dyDescent="0.3">
      <c r="A290" s="104">
        <f>'23'!$A$1</f>
        <v>46196</v>
      </c>
      <c r="B290" s="105">
        <f>'23'!$B$22</f>
        <v>0</v>
      </c>
      <c r="C290" s="68">
        <f>'23'!$D$22</f>
        <v>0</v>
      </c>
    </row>
    <row r="291" spans="1:3" x14ac:dyDescent="0.3">
      <c r="A291" s="104">
        <f>'23'!$A$1</f>
        <v>46196</v>
      </c>
      <c r="B291" s="105">
        <f>'23'!$B$23</f>
        <v>0</v>
      </c>
      <c r="C291" s="68">
        <f>'23'!$D$23</f>
        <v>0</v>
      </c>
    </row>
    <row r="292" spans="1:3" x14ac:dyDescent="0.3">
      <c r="A292" s="104">
        <f>'23'!$A$1</f>
        <v>46196</v>
      </c>
      <c r="B292" s="105">
        <f>'23'!$B$24</f>
        <v>0</v>
      </c>
      <c r="C292" s="68">
        <f>'23'!$D$24</f>
        <v>0</v>
      </c>
    </row>
    <row r="293" spans="1:3" x14ac:dyDescent="0.3">
      <c r="A293" s="104">
        <f>'23'!$A$1</f>
        <v>46196</v>
      </c>
      <c r="B293" s="105">
        <f>'23'!$B$25</f>
        <v>0</v>
      </c>
      <c r="C293" s="68">
        <f>'23'!$D$25</f>
        <v>0</v>
      </c>
    </row>
    <row r="294" spans="1:3" x14ac:dyDescent="0.3">
      <c r="A294" s="104">
        <f>'23'!$A$1</f>
        <v>46196</v>
      </c>
      <c r="B294" s="105">
        <f>'23'!$B$26</f>
        <v>0</v>
      </c>
      <c r="C294" s="68">
        <f>'23'!$D$26</f>
        <v>0</v>
      </c>
    </row>
    <row r="295" spans="1:3" x14ac:dyDescent="0.3">
      <c r="A295" s="104">
        <f>'23'!$A$1</f>
        <v>46196</v>
      </c>
      <c r="B295" s="105">
        <f>'23'!$B$27</f>
        <v>0</v>
      </c>
      <c r="C295" s="68">
        <f>'23'!$D$27</f>
        <v>0</v>
      </c>
    </row>
    <row r="296" spans="1:3" x14ac:dyDescent="0.3">
      <c r="A296" s="104">
        <f>'23'!$A$1</f>
        <v>46196</v>
      </c>
      <c r="B296" s="105">
        <f>'23'!$B$28</f>
        <v>0</v>
      </c>
      <c r="C296" s="68">
        <f>'23'!$D$28</f>
        <v>0</v>
      </c>
    </row>
    <row r="297" spans="1:3" x14ac:dyDescent="0.3">
      <c r="A297" s="104">
        <f>'23'!$A$1</f>
        <v>46196</v>
      </c>
      <c r="B297" s="105">
        <f>'23'!$B$29</f>
        <v>0</v>
      </c>
      <c r="C297" s="68">
        <f>'23'!$D$29</f>
        <v>0</v>
      </c>
    </row>
    <row r="298" spans="1:3" x14ac:dyDescent="0.3">
      <c r="A298" s="104">
        <f>'23'!$A$1</f>
        <v>46196</v>
      </c>
      <c r="B298" s="105">
        <f>'23'!$B$30</f>
        <v>0</v>
      </c>
      <c r="C298" s="68">
        <f>'23'!$D$30</f>
        <v>0</v>
      </c>
    </row>
    <row r="299" spans="1:3" x14ac:dyDescent="0.3">
      <c r="A299" s="104">
        <f>'23'!$A$1</f>
        <v>46196</v>
      </c>
      <c r="B299" s="105">
        <f>'23'!$B$31</f>
        <v>0</v>
      </c>
      <c r="C299" s="68">
        <f>'23'!$D$31</f>
        <v>0</v>
      </c>
    </row>
    <row r="300" spans="1:3" x14ac:dyDescent="0.3">
      <c r="A300" s="104">
        <f>'23'!$A$1</f>
        <v>46196</v>
      </c>
      <c r="B300" s="105">
        <f>'23'!$B$32</f>
        <v>0</v>
      </c>
      <c r="C300" s="68">
        <f>'23'!$D$32</f>
        <v>0</v>
      </c>
    </row>
    <row r="301" spans="1:3" x14ac:dyDescent="0.3">
      <c r="A301" s="104">
        <f>'23'!$A$1</f>
        <v>46196</v>
      </c>
      <c r="B301" s="105">
        <f>'23'!$B$33</f>
        <v>0</v>
      </c>
      <c r="C301" s="68">
        <f>'23'!$D$33</f>
        <v>0</v>
      </c>
    </row>
    <row r="302" spans="1:3" x14ac:dyDescent="0.3">
      <c r="A302" s="104">
        <f>'24'!$A$1</f>
        <v>46197</v>
      </c>
      <c r="B302" s="105">
        <f>'24'!$B$21</f>
        <v>0</v>
      </c>
      <c r="C302" s="68">
        <f>'24'!$D$21</f>
        <v>0</v>
      </c>
    </row>
    <row r="303" spans="1:3" x14ac:dyDescent="0.3">
      <c r="A303" s="104">
        <f>'24'!$A$1</f>
        <v>46197</v>
      </c>
      <c r="B303" s="105">
        <f>'24'!$B$22</f>
        <v>0</v>
      </c>
      <c r="C303" s="68">
        <f>'24'!$D$22</f>
        <v>0</v>
      </c>
    </row>
    <row r="304" spans="1:3" x14ac:dyDescent="0.3">
      <c r="A304" s="104">
        <f>'24'!$A$1</f>
        <v>46197</v>
      </c>
      <c r="B304" s="105">
        <f>'24'!$B$23</f>
        <v>0</v>
      </c>
      <c r="C304" s="68">
        <f>'24'!$D$23</f>
        <v>0</v>
      </c>
    </row>
    <row r="305" spans="1:3" x14ac:dyDescent="0.3">
      <c r="A305" s="104">
        <f>'24'!$A$1</f>
        <v>46197</v>
      </c>
      <c r="B305" s="105">
        <f>'24'!$B$24</f>
        <v>0</v>
      </c>
      <c r="C305" s="68">
        <f>'24'!$D$24</f>
        <v>0</v>
      </c>
    </row>
    <row r="306" spans="1:3" x14ac:dyDescent="0.3">
      <c r="A306" s="104">
        <f>'24'!$A$1</f>
        <v>46197</v>
      </c>
      <c r="B306" s="105">
        <f>'24'!$B$25</f>
        <v>0</v>
      </c>
      <c r="C306" s="68">
        <f>'24'!$D$25</f>
        <v>0</v>
      </c>
    </row>
    <row r="307" spans="1:3" x14ac:dyDescent="0.3">
      <c r="A307" s="104">
        <f>'24'!$A$1</f>
        <v>46197</v>
      </c>
      <c r="B307" s="105">
        <f>'24'!$B$26</f>
        <v>0</v>
      </c>
      <c r="C307" s="68">
        <f>'24'!$D$26</f>
        <v>0</v>
      </c>
    </row>
    <row r="308" spans="1:3" x14ac:dyDescent="0.3">
      <c r="A308" s="104">
        <f>'24'!$A$1</f>
        <v>46197</v>
      </c>
      <c r="B308" s="105">
        <f>'24'!$B$27</f>
        <v>0</v>
      </c>
      <c r="C308" s="68">
        <f>'24'!$D$27</f>
        <v>0</v>
      </c>
    </row>
    <row r="309" spans="1:3" x14ac:dyDescent="0.3">
      <c r="A309" s="104">
        <f>'24'!$A$1</f>
        <v>46197</v>
      </c>
      <c r="B309" s="105">
        <f>'24'!$B$28</f>
        <v>0</v>
      </c>
      <c r="C309" s="68">
        <f>'24'!$D$28</f>
        <v>0</v>
      </c>
    </row>
    <row r="310" spans="1:3" x14ac:dyDescent="0.3">
      <c r="A310" s="104">
        <f>'24'!$A$1</f>
        <v>46197</v>
      </c>
      <c r="B310" s="105">
        <f>'24'!$B$29</f>
        <v>0</v>
      </c>
      <c r="C310" s="68">
        <f>'24'!$D$29</f>
        <v>0</v>
      </c>
    </row>
    <row r="311" spans="1:3" x14ac:dyDescent="0.3">
      <c r="A311" s="104">
        <f>'24'!$A$1</f>
        <v>46197</v>
      </c>
      <c r="B311" s="105">
        <f>'24'!$B$30</f>
        <v>0</v>
      </c>
      <c r="C311" s="68">
        <f>'24'!$D$30</f>
        <v>0</v>
      </c>
    </row>
    <row r="312" spans="1:3" x14ac:dyDescent="0.3">
      <c r="A312" s="104">
        <f>'24'!$A$1</f>
        <v>46197</v>
      </c>
      <c r="B312" s="105">
        <f>'24'!$B$31</f>
        <v>0</v>
      </c>
      <c r="C312" s="68">
        <f>'24'!$D$31</f>
        <v>0</v>
      </c>
    </row>
    <row r="313" spans="1:3" x14ac:dyDescent="0.3">
      <c r="A313" s="104">
        <f>'24'!$A$1</f>
        <v>46197</v>
      </c>
      <c r="B313" s="105">
        <f>'24'!$B$32</f>
        <v>0</v>
      </c>
      <c r="C313" s="68">
        <f>'24'!$D$32</f>
        <v>0</v>
      </c>
    </row>
    <row r="314" spans="1:3" x14ac:dyDescent="0.3">
      <c r="A314" s="104">
        <f>'24'!$A$1</f>
        <v>46197</v>
      </c>
      <c r="B314" s="105">
        <f>'24'!$B$33</f>
        <v>0</v>
      </c>
      <c r="C314" s="68">
        <f>'24'!$D$33</f>
        <v>0</v>
      </c>
    </row>
    <row r="315" spans="1:3" x14ac:dyDescent="0.3">
      <c r="A315" s="104">
        <f>'25'!$A$1</f>
        <v>46198</v>
      </c>
      <c r="B315" s="105">
        <f>'25'!$B$21</f>
        <v>0</v>
      </c>
      <c r="C315" s="68">
        <f>'25'!$D$21</f>
        <v>0</v>
      </c>
    </row>
    <row r="316" spans="1:3" x14ac:dyDescent="0.3">
      <c r="A316" s="104">
        <f>'25'!$A$1</f>
        <v>46198</v>
      </c>
      <c r="B316" s="105">
        <f>'25'!$B$22</f>
        <v>0</v>
      </c>
      <c r="C316" s="68">
        <f>'25'!$D$22</f>
        <v>0</v>
      </c>
    </row>
    <row r="317" spans="1:3" x14ac:dyDescent="0.3">
      <c r="A317" s="104">
        <f>'25'!$A$1</f>
        <v>46198</v>
      </c>
      <c r="B317" s="105">
        <f>'25'!$B$23</f>
        <v>0</v>
      </c>
      <c r="C317" s="68">
        <f>'25'!$D$23</f>
        <v>0</v>
      </c>
    </row>
    <row r="318" spans="1:3" x14ac:dyDescent="0.3">
      <c r="A318" s="104">
        <f>'25'!$A$1</f>
        <v>46198</v>
      </c>
      <c r="B318" s="105">
        <f>'25'!$B$24</f>
        <v>0</v>
      </c>
      <c r="C318" s="68">
        <f>'25'!$D$24</f>
        <v>0</v>
      </c>
    </row>
    <row r="319" spans="1:3" x14ac:dyDescent="0.3">
      <c r="A319" s="104">
        <f>'25'!$A$1</f>
        <v>46198</v>
      </c>
      <c r="B319" s="105">
        <f>'25'!$B$25</f>
        <v>0</v>
      </c>
      <c r="C319" s="68">
        <f>'25'!$D$25</f>
        <v>0</v>
      </c>
    </row>
    <row r="320" spans="1:3" x14ac:dyDescent="0.3">
      <c r="A320" s="104">
        <f>'25'!$A$1</f>
        <v>46198</v>
      </c>
      <c r="B320" s="105">
        <f>'25'!$B$26</f>
        <v>0</v>
      </c>
      <c r="C320" s="68">
        <f>'25'!$D$26</f>
        <v>0</v>
      </c>
    </row>
    <row r="321" spans="1:3" x14ac:dyDescent="0.3">
      <c r="A321" s="104">
        <f>'25'!$A$1</f>
        <v>46198</v>
      </c>
      <c r="B321" s="105">
        <f>'25'!$B$27</f>
        <v>0</v>
      </c>
      <c r="C321" s="68">
        <f>'25'!$D$27</f>
        <v>0</v>
      </c>
    </row>
    <row r="322" spans="1:3" x14ac:dyDescent="0.3">
      <c r="A322" s="104">
        <f>'25'!$A$1</f>
        <v>46198</v>
      </c>
      <c r="B322" s="105">
        <f>'25'!$B$28</f>
        <v>0</v>
      </c>
      <c r="C322" s="68">
        <f>'25'!$D$28</f>
        <v>0</v>
      </c>
    </row>
    <row r="323" spans="1:3" x14ac:dyDescent="0.3">
      <c r="A323" s="104">
        <f>'25'!$A$1</f>
        <v>46198</v>
      </c>
      <c r="B323" s="105">
        <f>'25'!$B$29</f>
        <v>0</v>
      </c>
      <c r="C323" s="68">
        <f>'25'!$D$29</f>
        <v>0</v>
      </c>
    </row>
    <row r="324" spans="1:3" x14ac:dyDescent="0.3">
      <c r="A324" s="104">
        <f>'25'!$A$1</f>
        <v>46198</v>
      </c>
      <c r="B324" s="105">
        <f>'25'!$B$30</f>
        <v>0</v>
      </c>
      <c r="C324" s="68">
        <f>'25'!$D$30</f>
        <v>0</v>
      </c>
    </row>
    <row r="325" spans="1:3" x14ac:dyDescent="0.3">
      <c r="A325" s="104">
        <f>'25'!$A$1</f>
        <v>46198</v>
      </c>
      <c r="B325" s="105">
        <f>'25'!$B$31</f>
        <v>0</v>
      </c>
      <c r="C325" s="68">
        <f>'25'!$D$31</f>
        <v>0</v>
      </c>
    </row>
    <row r="326" spans="1:3" x14ac:dyDescent="0.3">
      <c r="A326" s="104">
        <f>'25'!$A$1</f>
        <v>46198</v>
      </c>
      <c r="B326" s="105">
        <f>'25'!$B$32</f>
        <v>0</v>
      </c>
      <c r="C326" s="68">
        <f>'25'!$D$32</f>
        <v>0</v>
      </c>
    </row>
    <row r="327" spans="1:3" x14ac:dyDescent="0.3">
      <c r="A327" s="104">
        <f>'25'!$A$1</f>
        <v>46198</v>
      </c>
      <c r="B327" s="105">
        <f>'25'!$B$33</f>
        <v>0</v>
      </c>
      <c r="C327" s="68">
        <f>'25'!$D$33</f>
        <v>0</v>
      </c>
    </row>
    <row r="328" spans="1:3" x14ac:dyDescent="0.3">
      <c r="A328" s="104">
        <f>'26'!$A$1</f>
        <v>46199</v>
      </c>
      <c r="B328" s="105">
        <f>'26'!$B$21</f>
        <v>0</v>
      </c>
      <c r="C328" s="68">
        <f>'26'!$D$21</f>
        <v>0</v>
      </c>
    </row>
    <row r="329" spans="1:3" x14ac:dyDescent="0.3">
      <c r="A329" s="104">
        <f>'26'!$A$1</f>
        <v>46199</v>
      </c>
      <c r="B329" s="105">
        <f>'26'!$B$22</f>
        <v>0</v>
      </c>
      <c r="C329" s="68">
        <f>'26'!$D$22</f>
        <v>0</v>
      </c>
    </row>
    <row r="330" spans="1:3" x14ac:dyDescent="0.3">
      <c r="A330" s="104">
        <f>'26'!$A$1</f>
        <v>46199</v>
      </c>
      <c r="B330" s="105">
        <f>'26'!$B$23</f>
        <v>0</v>
      </c>
      <c r="C330" s="68">
        <f>'26'!$D$23</f>
        <v>0</v>
      </c>
    </row>
    <row r="331" spans="1:3" x14ac:dyDescent="0.3">
      <c r="A331" s="104">
        <f>'26'!$A$1</f>
        <v>46199</v>
      </c>
      <c r="B331" s="105">
        <f>'26'!$B$24</f>
        <v>0</v>
      </c>
      <c r="C331" s="68">
        <f>'26'!$D$24</f>
        <v>0</v>
      </c>
    </row>
    <row r="332" spans="1:3" x14ac:dyDescent="0.3">
      <c r="A332" s="104">
        <f>'26'!$A$1</f>
        <v>46199</v>
      </c>
      <c r="B332" s="105">
        <f>'26'!$B$25</f>
        <v>0</v>
      </c>
      <c r="C332" s="68">
        <f>'26'!$D$25</f>
        <v>0</v>
      </c>
    </row>
    <row r="333" spans="1:3" x14ac:dyDescent="0.3">
      <c r="A333" s="104">
        <f>'26'!$A$1</f>
        <v>46199</v>
      </c>
      <c r="B333" s="105">
        <f>'26'!$B$26</f>
        <v>0</v>
      </c>
      <c r="C333" s="68">
        <f>'26'!$D$26</f>
        <v>0</v>
      </c>
    </row>
    <row r="334" spans="1:3" x14ac:dyDescent="0.3">
      <c r="A334" s="104">
        <f>'26'!$A$1</f>
        <v>46199</v>
      </c>
      <c r="B334" s="105">
        <f>'26'!$B$27</f>
        <v>0</v>
      </c>
      <c r="C334" s="68">
        <f>'26'!$D$27</f>
        <v>0</v>
      </c>
    </row>
    <row r="335" spans="1:3" x14ac:dyDescent="0.3">
      <c r="A335" s="104">
        <f>'26'!$A$1</f>
        <v>46199</v>
      </c>
      <c r="B335" s="105">
        <f>'26'!$B$28</f>
        <v>0</v>
      </c>
      <c r="C335" s="68">
        <f>'26'!$D$28</f>
        <v>0</v>
      </c>
    </row>
    <row r="336" spans="1:3" x14ac:dyDescent="0.3">
      <c r="A336" s="104">
        <f>'26'!$A$1</f>
        <v>46199</v>
      </c>
      <c r="B336" s="105">
        <f>'26'!$B$29</f>
        <v>0</v>
      </c>
      <c r="C336" s="68">
        <f>'26'!$D$29</f>
        <v>0</v>
      </c>
    </row>
    <row r="337" spans="1:3" x14ac:dyDescent="0.3">
      <c r="A337" s="104">
        <f>'26'!$A$1</f>
        <v>46199</v>
      </c>
      <c r="B337" s="105">
        <f>'26'!$B$30</f>
        <v>0</v>
      </c>
      <c r="C337" s="68">
        <f>'26'!$D$30</f>
        <v>0</v>
      </c>
    </row>
    <row r="338" spans="1:3" x14ac:dyDescent="0.3">
      <c r="A338" s="104">
        <f>'26'!$A$1</f>
        <v>46199</v>
      </c>
      <c r="B338" s="105">
        <f>'26'!$B$31</f>
        <v>0</v>
      </c>
      <c r="C338" s="68">
        <f>'26'!$D$31</f>
        <v>0</v>
      </c>
    </row>
    <row r="339" spans="1:3" x14ac:dyDescent="0.3">
      <c r="A339" s="104">
        <f>'26'!$A$1</f>
        <v>46199</v>
      </c>
      <c r="B339" s="105">
        <f>'26'!$B$32</f>
        <v>0</v>
      </c>
      <c r="C339" s="68">
        <f>'26'!$D$32</f>
        <v>0</v>
      </c>
    </row>
    <row r="340" spans="1:3" x14ac:dyDescent="0.3">
      <c r="A340" s="104">
        <f>'26'!$A$1</f>
        <v>46199</v>
      </c>
      <c r="B340" s="105">
        <f>'26'!$B$33</f>
        <v>0</v>
      </c>
      <c r="C340" s="68">
        <f>'26'!$D$33</f>
        <v>0</v>
      </c>
    </row>
    <row r="341" spans="1:3" x14ac:dyDescent="0.3">
      <c r="A341" s="104">
        <f>'27'!$A$1</f>
        <v>46200</v>
      </c>
      <c r="B341" s="105">
        <f>'27'!$B$21</f>
        <v>0</v>
      </c>
      <c r="C341" s="68">
        <f>'27'!$D$21</f>
        <v>0</v>
      </c>
    </row>
    <row r="342" spans="1:3" x14ac:dyDescent="0.3">
      <c r="A342" s="104">
        <f>'27'!$A$1</f>
        <v>46200</v>
      </c>
      <c r="B342" s="105">
        <f>'27'!$B$22</f>
        <v>0</v>
      </c>
      <c r="C342" s="68">
        <f>'27'!$D$22</f>
        <v>0</v>
      </c>
    </row>
    <row r="343" spans="1:3" x14ac:dyDescent="0.3">
      <c r="A343" s="104">
        <f>'27'!$A$1</f>
        <v>46200</v>
      </c>
      <c r="B343" s="105">
        <f>'27'!$B$23</f>
        <v>0</v>
      </c>
      <c r="C343" s="68">
        <f>'27'!$D$23</f>
        <v>0</v>
      </c>
    </row>
    <row r="344" spans="1:3" x14ac:dyDescent="0.3">
      <c r="A344" s="104">
        <f>'27'!$A$1</f>
        <v>46200</v>
      </c>
      <c r="B344" s="105">
        <f>'27'!$B$24</f>
        <v>0</v>
      </c>
      <c r="C344" s="68">
        <f>'27'!$D$24</f>
        <v>0</v>
      </c>
    </row>
    <row r="345" spans="1:3" x14ac:dyDescent="0.3">
      <c r="A345" s="104">
        <f>'27'!$A$1</f>
        <v>46200</v>
      </c>
      <c r="B345" s="105">
        <f>'27'!$B$25</f>
        <v>0</v>
      </c>
      <c r="C345" s="68">
        <f>'27'!$D$25</f>
        <v>0</v>
      </c>
    </row>
    <row r="346" spans="1:3" x14ac:dyDescent="0.3">
      <c r="A346" s="104">
        <f>'27'!$A$1</f>
        <v>46200</v>
      </c>
      <c r="B346" s="105">
        <f>'27'!$B$26</f>
        <v>0</v>
      </c>
      <c r="C346" s="68">
        <f>'27'!$D$26</f>
        <v>0</v>
      </c>
    </row>
    <row r="347" spans="1:3" x14ac:dyDescent="0.3">
      <c r="A347" s="104">
        <f>'27'!$A$1</f>
        <v>46200</v>
      </c>
      <c r="B347" s="105">
        <f>'27'!$B$27</f>
        <v>0</v>
      </c>
      <c r="C347" s="68">
        <f>'27'!$D$27</f>
        <v>0</v>
      </c>
    </row>
    <row r="348" spans="1:3" x14ac:dyDescent="0.3">
      <c r="A348" s="104">
        <f>'27'!$A$1</f>
        <v>46200</v>
      </c>
      <c r="B348" s="105">
        <f>'27'!$B$28</f>
        <v>0</v>
      </c>
      <c r="C348" s="68">
        <f>'27'!$D$28</f>
        <v>0</v>
      </c>
    </row>
    <row r="349" spans="1:3" x14ac:dyDescent="0.3">
      <c r="A349" s="104">
        <f>'27'!$A$1</f>
        <v>46200</v>
      </c>
      <c r="B349" s="105">
        <f>'27'!$B$29</f>
        <v>0</v>
      </c>
      <c r="C349" s="68">
        <f>'27'!$D$29</f>
        <v>0</v>
      </c>
    </row>
    <row r="350" spans="1:3" x14ac:dyDescent="0.3">
      <c r="A350" s="104">
        <f>'27'!$A$1</f>
        <v>46200</v>
      </c>
      <c r="B350" s="105">
        <f>'27'!$B$30</f>
        <v>0</v>
      </c>
      <c r="C350" s="68">
        <f>'27'!$D$30</f>
        <v>0</v>
      </c>
    </row>
    <row r="351" spans="1:3" x14ac:dyDescent="0.3">
      <c r="A351" s="104">
        <f>'27'!$A$1</f>
        <v>46200</v>
      </c>
      <c r="B351" s="105">
        <f>'27'!$B$31</f>
        <v>0</v>
      </c>
      <c r="C351" s="68">
        <f>'27'!$D$31</f>
        <v>0</v>
      </c>
    </row>
    <row r="352" spans="1:3" x14ac:dyDescent="0.3">
      <c r="A352" s="104">
        <f>'27'!$A$1</f>
        <v>46200</v>
      </c>
      <c r="B352" s="105">
        <f>'27'!$B$32</f>
        <v>0</v>
      </c>
      <c r="C352" s="68">
        <f>'27'!$D$32</f>
        <v>0</v>
      </c>
    </row>
    <row r="353" spans="1:3" x14ac:dyDescent="0.3">
      <c r="A353" s="104">
        <f>'27'!$A$1</f>
        <v>46200</v>
      </c>
      <c r="B353" s="105">
        <f>'27'!$B$33</f>
        <v>0</v>
      </c>
      <c r="C353" s="68">
        <f>'27'!$D$33</f>
        <v>0</v>
      </c>
    </row>
    <row r="354" spans="1:3" x14ac:dyDescent="0.3">
      <c r="A354" s="104">
        <f>'28'!$A$1</f>
        <v>46201</v>
      </c>
      <c r="B354" s="105">
        <f>'28'!$B$21</f>
        <v>0</v>
      </c>
      <c r="C354" s="68">
        <f>'28'!$D$21</f>
        <v>0</v>
      </c>
    </row>
    <row r="355" spans="1:3" x14ac:dyDescent="0.3">
      <c r="A355" s="104">
        <f>'28'!$A$1</f>
        <v>46201</v>
      </c>
      <c r="B355" s="105">
        <f>'28'!$B$22</f>
        <v>0</v>
      </c>
      <c r="C355" s="68">
        <f>'28'!$D$22</f>
        <v>0</v>
      </c>
    </row>
    <row r="356" spans="1:3" x14ac:dyDescent="0.3">
      <c r="A356" s="104">
        <f>'28'!$A$1</f>
        <v>46201</v>
      </c>
      <c r="B356" s="105">
        <f>'28'!$B$23</f>
        <v>0</v>
      </c>
      <c r="C356" s="68">
        <f>'28'!$D$23</f>
        <v>0</v>
      </c>
    </row>
    <row r="357" spans="1:3" x14ac:dyDescent="0.3">
      <c r="A357" s="104">
        <f>'28'!$A$1</f>
        <v>46201</v>
      </c>
      <c r="B357" s="105">
        <f>'28'!$B$24</f>
        <v>0</v>
      </c>
      <c r="C357" s="68">
        <f>'28'!$D$24</f>
        <v>0</v>
      </c>
    </row>
    <row r="358" spans="1:3" x14ac:dyDescent="0.3">
      <c r="A358" s="104">
        <f>'28'!$A$1</f>
        <v>46201</v>
      </c>
      <c r="B358" s="105">
        <f>'28'!$B$25</f>
        <v>0</v>
      </c>
      <c r="C358" s="68">
        <f>'28'!$D$25</f>
        <v>0</v>
      </c>
    </row>
    <row r="359" spans="1:3" x14ac:dyDescent="0.3">
      <c r="A359" s="104">
        <f>'28'!$A$1</f>
        <v>46201</v>
      </c>
      <c r="B359" s="105">
        <f>'28'!$B$26</f>
        <v>0</v>
      </c>
      <c r="C359" s="68">
        <f>'28'!$D$26</f>
        <v>0</v>
      </c>
    </row>
    <row r="360" spans="1:3" x14ac:dyDescent="0.3">
      <c r="A360" s="104">
        <f>'28'!$A$1</f>
        <v>46201</v>
      </c>
      <c r="B360" s="105">
        <f>'28'!$B$27</f>
        <v>0</v>
      </c>
      <c r="C360" s="68">
        <f>'28'!$D$27</f>
        <v>0</v>
      </c>
    </row>
    <row r="361" spans="1:3" x14ac:dyDescent="0.3">
      <c r="A361" s="104">
        <f>'28'!$A$1</f>
        <v>46201</v>
      </c>
      <c r="B361" s="105">
        <f>'28'!$B$28</f>
        <v>0</v>
      </c>
      <c r="C361" s="68">
        <f>'28'!$D$28</f>
        <v>0</v>
      </c>
    </row>
    <row r="362" spans="1:3" x14ac:dyDescent="0.3">
      <c r="A362" s="104">
        <f>'28'!$A$1</f>
        <v>46201</v>
      </c>
      <c r="B362" s="105">
        <f>'28'!$B$29</f>
        <v>0</v>
      </c>
      <c r="C362" s="68">
        <f>'28'!$D$29</f>
        <v>0</v>
      </c>
    </row>
    <row r="363" spans="1:3" x14ac:dyDescent="0.3">
      <c r="A363" s="104">
        <f>'28'!$A$1</f>
        <v>46201</v>
      </c>
      <c r="B363" s="105">
        <f>'28'!$B$30</f>
        <v>0</v>
      </c>
      <c r="C363" s="68">
        <f>'28'!$D$30</f>
        <v>0</v>
      </c>
    </row>
    <row r="364" spans="1:3" x14ac:dyDescent="0.3">
      <c r="A364" s="104">
        <f>'28'!$A$1</f>
        <v>46201</v>
      </c>
      <c r="B364" s="105">
        <f>'28'!$B$31</f>
        <v>0</v>
      </c>
      <c r="C364" s="68">
        <f>'28'!$D$31</f>
        <v>0</v>
      </c>
    </row>
    <row r="365" spans="1:3" x14ac:dyDescent="0.3">
      <c r="A365" s="104">
        <f>'28'!$A$1</f>
        <v>46201</v>
      </c>
      <c r="B365" s="105">
        <f>'28'!$B$32</f>
        <v>0</v>
      </c>
      <c r="C365" s="68">
        <f>'28'!$D$32</f>
        <v>0</v>
      </c>
    </row>
    <row r="366" spans="1:3" x14ac:dyDescent="0.3">
      <c r="A366" s="104">
        <f>'28'!$A$1</f>
        <v>46201</v>
      </c>
      <c r="B366" s="105">
        <f>'28'!$B$33</f>
        <v>0</v>
      </c>
      <c r="C366" s="68">
        <f>'28'!$D$33</f>
        <v>0</v>
      </c>
    </row>
    <row r="367" spans="1:3" x14ac:dyDescent="0.3">
      <c r="A367" s="104">
        <f>'29'!$A$1</f>
        <v>46202</v>
      </c>
      <c r="B367" s="105">
        <f>'29'!$B$21</f>
        <v>0</v>
      </c>
      <c r="C367" s="68">
        <f>'29'!$D$21</f>
        <v>0</v>
      </c>
    </row>
    <row r="368" spans="1:3" x14ac:dyDescent="0.3">
      <c r="A368" s="104">
        <f>'29'!$A$1</f>
        <v>46202</v>
      </c>
      <c r="B368" s="105">
        <f>'29'!$B$22</f>
        <v>0</v>
      </c>
      <c r="C368" s="68">
        <f>'29'!$D$22</f>
        <v>0</v>
      </c>
    </row>
    <row r="369" spans="1:3" x14ac:dyDescent="0.3">
      <c r="A369" s="104">
        <f>'29'!$A$1</f>
        <v>46202</v>
      </c>
      <c r="B369" s="105">
        <f>'29'!$B$23</f>
        <v>0</v>
      </c>
      <c r="C369" s="68">
        <f>'29'!$D$23</f>
        <v>0</v>
      </c>
    </row>
    <row r="370" spans="1:3" x14ac:dyDescent="0.3">
      <c r="A370" s="104">
        <f>'29'!$A$1</f>
        <v>46202</v>
      </c>
      <c r="B370" s="105">
        <f>'29'!$B$24</f>
        <v>0</v>
      </c>
      <c r="C370" s="68">
        <f>'29'!$D$24</f>
        <v>0</v>
      </c>
    </row>
    <row r="371" spans="1:3" x14ac:dyDescent="0.3">
      <c r="A371" s="104">
        <f>'29'!$A$1</f>
        <v>46202</v>
      </c>
      <c r="B371" s="105">
        <f>'29'!$B$25</f>
        <v>0</v>
      </c>
      <c r="C371" s="68">
        <f>'29'!$D$25</f>
        <v>0</v>
      </c>
    </row>
    <row r="372" spans="1:3" x14ac:dyDescent="0.3">
      <c r="A372" s="104">
        <f>'29'!$A$1</f>
        <v>46202</v>
      </c>
      <c r="B372" s="105">
        <f>'29'!$B$26</f>
        <v>0</v>
      </c>
      <c r="C372" s="68">
        <f>'29'!$D$26</f>
        <v>0</v>
      </c>
    </row>
    <row r="373" spans="1:3" x14ac:dyDescent="0.3">
      <c r="A373" s="104">
        <f>'29'!$A$1</f>
        <v>46202</v>
      </c>
      <c r="B373" s="105">
        <f>'29'!$B$27</f>
        <v>0</v>
      </c>
      <c r="C373" s="68">
        <f>'29'!$D$27</f>
        <v>0</v>
      </c>
    </row>
    <row r="374" spans="1:3" x14ac:dyDescent="0.3">
      <c r="A374" s="104">
        <f>'29'!$A$1</f>
        <v>46202</v>
      </c>
      <c r="B374" s="105">
        <f>'29'!$B$28</f>
        <v>0</v>
      </c>
      <c r="C374" s="68">
        <f>'29'!$D$28</f>
        <v>0</v>
      </c>
    </row>
    <row r="375" spans="1:3" x14ac:dyDescent="0.3">
      <c r="A375" s="104">
        <f>'29'!$A$1</f>
        <v>46202</v>
      </c>
      <c r="B375" s="105">
        <f>'29'!$B$29</f>
        <v>0</v>
      </c>
      <c r="C375" s="68">
        <f>'29'!$D$29</f>
        <v>0</v>
      </c>
    </row>
    <row r="376" spans="1:3" x14ac:dyDescent="0.3">
      <c r="A376" s="104">
        <f>'29'!$A$1</f>
        <v>46202</v>
      </c>
      <c r="B376" s="105">
        <f>'29'!$B$30</f>
        <v>0</v>
      </c>
      <c r="C376" s="68">
        <f>'29'!$D$30</f>
        <v>0</v>
      </c>
    </row>
    <row r="377" spans="1:3" x14ac:dyDescent="0.3">
      <c r="A377" s="104">
        <f>'29'!$A$1</f>
        <v>46202</v>
      </c>
      <c r="B377" s="105">
        <f>'29'!$B$31</f>
        <v>0</v>
      </c>
      <c r="C377" s="68">
        <f>'29'!$D$31</f>
        <v>0</v>
      </c>
    </row>
    <row r="378" spans="1:3" x14ac:dyDescent="0.3">
      <c r="A378" s="104">
        <f>'29'!$A$1</f>
        <v>46202</v>
      </c>
      <c r="B378" s="105">
        <f>'29'!$B$32</f>
        <v>0</v>
      </c>
      <c r="C378" s="68">
        <f>'29'!$D$32</f>
        <v>0</v>
      </c>
    </row>
    <row r="379" spans="1:3" x14ac:dyDescent="0.3">
      <c r="A379" s="104">
        <f>'29'!$A$1</f>
        <v>46202</v>
      </c>
      <c r="B379" s="105">
        <f>'29'!$B$33</f>
        <v>0</v>
      </c>
      <c r="C379" s="68">
        <f>'29'!$D$33</f>
        <v>0</v>
      </c>
    </row>
    <row r="380" spans="1:3" x14ac:dyDescent="0.3">
      <c r="A380" s="104">
        <f>'30'!$A$1</f>
        <v>46203</v>
      </c>
      <c r="B380" s="105">
        <f>'30'!$B$21</f>
        <v>0</v>
      </c>
      <c r="C380" s="68">
        <f>'30'!$D$21</f>
        <v>0</v>
      </c>
    </row>
    <row r="381" spans="1:3" x14ac:dyDescent="0.3">
      <c r="A381" s="104">
        <f>'30'!$A$1</f>
        <v>46203</v>
      </c>
      <c r="B381" s="105">
        <f>'30'!$B$22</f>
        <v>0</v>
      </c>
      <c r="C381" s="68">
        <f>'30'!$D$22</f>
        <v>0</v>
      </c>
    </row>
    <row r="382" spans="1:3" x14ac:dyDescent="0.3">
      <c r="A382" s="104">
        <f>'30'!$A$1</f>
        <v>46203</v>
      </c>
      <c r="B382" s="105">
        <f>'30'!$B$23</f>
        <v>0</v>
      </c>
      <c r="C382" s="68">
        <f>'30'!$D$23</f>
        <v>0</v>
      </c>
    </row>
    <row r="383" spans="1:3" x14ac:dyDescent="0.3">
      <c r="A383" s="104">
        <f>'30'!$A$1</f>
        <v>46203</v>
      </c>
      <c r="B383" s="105">
        <f>'30'!$B$24</f>
        <v>0</v>
      </c>
      <c r="C383" s="68">
        <f>'30'!$D$24</f>
        <v>0</v>
      </c>
    </row>
    <row r="384" spans="1:3" x14ac:dyDescent="0.3">
      <c r="A384" s="104">
        <f>'30'!$A$1</f>
        <v>46203</v>
      </c>
      <c r="B384" s="105">
        <f>'30'!$B$25</f>
        <v>0</v>
      </c>
      <c r="C384" s="68">
        <f>'30'!$D$25</f>
        <v>0</v>
      </c>
    </row>
    <row r="385" spans="1:3" x14ac:dyDescent="0.3">
      <c r="A385" s="104">
        <f>'30'!$A$1</f>
        <v>46203</v>
      </c>
      <c r="B385" s="105">
        <f>'30'!$B$26</f>
        <v>0</v>
      </c>
      <c r="C385" s="68">
        <f>'30'!$D$26</f>
        <v>0</v>
      </c>
    </row>
    <row r="386" spans="1:3" x14ac:dyDescent="0.3">
      <c r="A386" s="104">
        <f>'30'!$A$1</f>
        <v>46203</v>
      </c>
      <c r="B386" s="105">
        <f>'30'!$B$27</f>
        <v>0</v>
      </c>
      <c r="C386" s="68">
        <f>'30'!$D$27</f>
        <v>0</v>
      </c>
    </row>
    <row r="387" spans="1:3" x14ac:dyDescent="0.3">
      <c r="A387" s="104">
        <f>'30'!$A$1</f>
        <v>46203</v>
      </c>
      <c r="B387" s="105">
        <f>'30'!$B$28</f>
        <v>0</v>
      </c>
      <c r="C387" s="68">
        <f>'30'!$D$28</f>
        <v>0</v>
      </c>
    </row>
    <row r="388" spans="1:3" x14ac:dyDescent="0.3">
      <c r="A388" s="104">
        <f>'30'!$A$1</f>
        <v>46203</v>
      </c>
      <c r="B388" s="105">
        <f>'30'!$B$29</f>
        <v>0</v>
      </c>
      <c r="C388" s="68">
        <f>'30'!$D$29</f>
        <v>0</v>
      </c>
    </row>
    <row r="389" spans="1:3" x14ac:dyDescent="0.3">
      <c r="A389" s="104">
        <f>'30'!$A$1</f>
        <v>46203</v>
      </c>
      <c r="B389" s="105">
        <f>'30'!$B$30</f>
        <v>0</v>
      </c>
      <c r="C389" s="68">
        <f>'30'!$D$30</f>
        <v>0</v>
      </c>
    </row>
    <row r="390" spans="1:3" x14ac:dyDescent="0.3">
      <c r="A390" s="104">
        <f>'30'!$A$1</f>
        <v>46203</v>
      </c>
      <c r="B390" s="105">
        <f>'30'!$B$31</f>
        <v>0</v>
      </c>
      <c r="C390" s="68">
        <f>'30'!$D$31</f>
        <v>0</v>
      </c>
    </row>
    <row r="391" spans="1:3" x14ac:dyDescent="0.3">
      <c r="A391" s="104">
        <f>'30'!$A$1</f>
        <v>46203</v>
      </c>
      <c r="B391" s="105">
        <f>'30'!$B$32</f>
        <v>0</v>
      </c>
      <c r="C391" s="68">
        <f>'30'!$D$32</f>
        <v>0</v>
      </c>
    </row>
    <row r="392" spans="1:3" x14ac:dyDescent="0.3">
      <c r="A392" s="104">
        <f>'30'!$A$1</f>
        <v>46203</v>
      </c>
      <c r="B392" s="105">
        <f>'30'!$B$33</f>
        <v>0</v>
      </c>
      <c r="C392" s="68">
        <f>'30'!$D$33</f>
        <v>0</v>
      </c>
    </row>
    <row r="393" spans="1:3" x14ac:dyDescent="0.3">
      <c r="A393" s="104">
        <f>'31'!$A$1</f>
        <v>46204</v>
      </c>
      <c r="B393" s="105">
        <f>'31'!$B$21</f>
        <v>0</v>
      </c>
      <c r="C393" s="68">
        <f>'31'!$D$21</f>
        <v>0</v>
      </c>
    </row>
    <row r="394" spans="1:3" x14ac:dyDescent="0.3">
      <c r="A394" s="104">
        <f>'31'!$A$1</f>
        <v>46204</v>
      </c>
      <c r="B394" s="105">
        <f>'31'!$B$22</f>
        <v>0</v>
      </c>
      <c r="C394" s="68">
        <f>'31'!$D$22</f>
        <v>0</v>
      </c>
    </row>
    <row r="395" spans="1:3" x14ac:dyDescent="0.3">
      <c r="A395" s="104">
        <f>'31'!$A$1</f>
        <v>46204</v>
      </c>
      <c r="B395" s="105">
        <f>'31'!$B$23</f>
        <v>0</v>
      </c>
      <c r="C395" s="68">
        <f>'31'!$D$23</f>
        <v>0</v>
      </c>
    </row>
    <row r="396" spans="1:3" x14ac:dyDescent="0.3">
      <c r="A396" s="104">
        <f>'31'!$A$1</f>
        <v>46204</v>
      </c>
      <c r="B396" s="105">
        <f>'31'!$B$24</f>
        <v>0</v>
      </c>
      <c r="C396" s="68">
        <f>'31'!$D$24</f>
        <v>0</v>
      </c>
    </row>
    <row r="397" spans="1:3" x14ac:dyDescent="0.3">
      <c r="A397" s="104">
        <f>'31'!$A$1</f>
        <v>46204</v>
      </c>
      <c r="B397" s="105">
        <f>'31'!$B$25</f>
        <v>0</v>
      </c>
      <c r="C397" s="68">
        <f>'31'!$D$25</f>
        <v>0</v>
      </c>
    </row>
    <row r="398" spans="1:3" x14ac:dyDescent="0.3">
      <c r="A398" s="104">
        <f>'31'!$A$1</f>
        <v>46204</v>
      </c>
      <c r="B398" s="105">
        <f>'31'!$B$26</f>
        <v>0</v>
      </c>
      <c r="C398" s="68">
        <f>'31'!$D$26</f>
        <v>0</v>
      </c>
    </row>
    <row r="399" spans="1:3" x14ac:dyDescent="0.3">
      <c r="A399" s="104">
        <f>'31'!$A$1</f>
        <v>46204</v>
      </c>
      <c r="B399" s="105">
        <f>'31'!$B$27</f>
        <v>0</v>
      </c>
      <c r="C399" s="68">
        <f>'31'!$D$27</f>
        <v>0</v>
      </c>
    </row>
    <row r="400" spans="1:3" x14ac:dyDescent="0.3">
      <c r="A400" s="104">
        <f>'31'!$A$1</f>
        <v>46204</v>
      </c>
      <c r="B400" s="105">
        <f>'31'!$B$28</f>
        <v>0</v>
      </c>
      <c r="C400" s="68">
        <f>'31'!$D$28</f>
        <v>0</v>
      </c>
    </row>
    <row r="401" spans="1:3" x14ac:dyDescent="0.3">
      <c r="A401" s="104">
        <f>'31'!$A$1</f>
        <v>46204</v>
      </c>
      <c r="B401" s="105">
        <f>'31'!$B$29</f>
        <v>0</v>
      </c>
      <c r="C401" s="68">
        <f>'31'!$D$29</f>
        <v>0</v>
      </c>
    </row>
    <row r="402" spans="1:3" x14ac:dyDescent="0.3">
      <c r="A402" s="104">
        <f>'31'!$A$1</f>
        <v>46204</v>
      </c>
      <c r="B402" s="105">
        <f>'31'!$B$30</f>
        <v>0</v>
      </c>
      <c r="C402" s="68">
        <f>'31'!$D$30</f>
        <v>0</v>
      </c>
    </row>
    <row r="403" spans="1:3" x14ac:dyDescent="0.3">
      <c r="A403" s="104">
        <f>'31'!$A$1</f>
        <v>46204</v>
      </c>
      <c r="B403" s="105">
        <f>'31'!$B$31</f>
        <v>0</v>
      </c>
      <c r="C403" s="68">
        <f>'31'!$D$31</f>
        <v>0</v>
      </c>
    </row>
    <row r="404" spans="1:3" x14ac:dyDescent="0.3">
      <c r="A404" s="104">
        <f>'31'!$A$1</f>
        <v>46204</v>
      </c>
      <c r="B404" s="105">
        <f>'31'!$B$32</f>
        <v>0</v>
      </c>
      <c r="C404" s="68">
        <f>'31'!$D$32</f>
        <v>0</v>
      </c>
    </row>
    <row r="405" spans="1:3" ht="15" thickBot="1" x14ac:dyDescent="0.35">
      <c r="A405" s="112">
        <f>'31'!$A$1</f>
        <v>46204</v>
      </c>
      <c r="B405" s="113">
        <f>'31'!$B$33</f>
        <v>0</v>
      </c>
      <c r="C405" s="114">
        <f>'31'!$D$33</f>
        <v>0</v>
      </c>
    </row>
    <row r="406" spans="1:3" ht="15.6" thickTop="1" thickBot="1" x14ac:dyDescent="0.35">
      <c r="C406" s="99">
        <f>SUM(C3:C405)</f>
        <v>39930</v>
      </c>
    </row>
    <row r="407" spans="1:3" ht="15" thickTop="1" x14ac:dyDescent="0.3"/>
    <row r="413" spans="1:3" x14ac:dyDescent="0.3">
      <c r="C413" s="50">
        <f>SUBTOTAL(9,C34:C407)</f>
        <v>79860</v>
      </c>
    </row>
  </sheetData>
  <autoFilter ref="A2:D377" xr:uid="{00000000-0009-0000-0000-000021000000}"/>
  <mergeCells count="1">
    <mergeCell ref="A1:C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70"/>
  <sheetViews>
    <sheetView workbookViewId="0">
      <selection activeCell="D9" sqref="D9"/>
    </sheetView>
  </sheetViews>
  <sheetFormatPr defaultRowHeight="14.4" x14ac:dyDescent="0.3"/>
  <cols>
    <col min="1" max="1" width="10.44140625" style="92" customWidth="1"/>
    <col min="2" max="2" width="24.88671875" style="49" bestFit="1" customWidth="1"/>
    <col min="3" max="3" width="12.5546875" style="48" bestFit="1" customWidth="1"/>
    <col min="4" max="4" width="16.5546875" style="50" customWidth="1"/>
    <col min="5" max="5" width="14.21875" style="50" bestFit="1" customWidth="1"/>
    <col min="6" max="6" width="17.33203125" style="50" bestFit="1" customWidth="1"/>
    <col min="7" max="7" width="13.33203125" style="50" bestFit="1" customWidth="1"/>
    <col min="8" max="8" width="8.77734375" style="48"/>
    <col min="9" max="9" width="11" style="48" bestFit="1" customWidth="1"/>
  </cols>
  <sheetData>
    <row r="1" spans="1:9" ht="15" thickBot="1" x14ac:dyDescent="0.35"/>
    <row r="2" spans="1:9" ht="15.6" thickTop="1" thickBot="1" x14ac:dyDescent="0.35">
      <c r="B2" s="93" t="s">
        <v>51</v>
      </c>
      <c r="C2" s="94" t="s">
        <v>8</v>
      </c>
      <c r="E2" s="50">
        <f>D4+D5+D6+D7+D8+D9+D10+D11</f>
        <v>0</v>
      </c>
    </row>
    <row r="3" spans="1:9" ht="15" thickTop="1" x14ac:dyDescent="0.3">
      <c r="B3" s="154" t="s">
        <v>52</v>
      </c>
      <c r="C3" s="155">
        <v>73013.679999999993</v>
      </c>
    </row>
    <row r="4" spans="1:9" x14ac:dyDescent="0.3">
      <c r="B4" s="156" t="s">
        <v>53</v>
      </c>
      <c r="C4" s="157">
        <v>746530.65</v>
      </c>
    </row>
    <row r="5" spans="1:9" x14ac:dyDescent="0.3">
      <c r="B5" s="156" t="s">
        <v>54</v>
      </c>
      <c r="C5" s="157">
        <v>37500</v>
      </c>
    </row>
    <row r="6" spans="1:9" x14ac:dyDescent="0.3">
      <c r="B6" s="156" t="s">
        <v>55</v>
      </c>
      <c r="C6" s="157">
        <v>15000</v>
      </c>
    </row>
    <row r="7" spans="1:9" ht="28.8" x14ac:dyDescent="0.3">
      <c r="B7" s="137" t="s">
        <v>56</v>
      </c>
      <c r="C7" s="158">
        <v>94726.319999999992</v>
      </c>
    </row>
    <row r="8" spans="1:9" x14ac:dyDescent="0.3">
      <c r="B8" s="156" t="s">
        <v>57</v>
      </c>
      <c r="C8" s="157">
        <v>41500</v>
      </c>
    </row>
    <row r="9" spans="1:9" ht="43.2" x14ac:dyDescent="0.3">
      <c r="B9" s="156" t="s">
        <v>58</v>
      </c>
      <c r="C9" s="157">
        <v>2750</v>
      </c>
    </row>
    <row r="10" spans="1:9" x14ac:dyDescent="0.3">
      <c r="B10" s="156" t="s">
        <v>59</v>
      </c>
      <c r="C10" s="157">
        <v>37000</v>
      </c>
    </row>
    <row r="11" spans="1:9" x14ac:dyDescent="0.3">
      <c r="B11" s="96" t="s">
        <v>60</v>
      </c>
      <c r="C11" s="68">
        <v>28823.901600000001</v>
      </c>
    </row>
    <row r="12" spans="1:9" ht="29.4" thickBot="1" x14ac:dyDescent="0.35">
      <c r="B12" s="97" t="s">
        <v>101</v>
      </c>
      <c r="C12" s="98">
        <v>119392.55</v>
      </c>
    </row>
    <row r="13" spans="1:9" ht="15.6" thickTop="1" thickBot="1" x14ac:dyDescent="0.35">
      <c r="B13" s="93" t="s">
        <v>20</v>
      </c>
      <c r="C13" s="99">
        <f>SUM(C3:C12)</f>
        <v>1196237.1016000002</v>
      </c>
    </row>
    <row r="14" spans="1:9" ht="15.6" thickTop="1" thickBot="1" x14ac:dyDescent="0.35"/>
    <row r="15" spans="1:9" ht="30" thickTop="1" thickBot="1" x14ac:dyDescent="0.35">
      <c r="A15" s="100" t="s">
        <v>61</v>
      </c>
      <c r="B15" s="93" t="s">
        <v>62</v>
      </c>
      <c r="C15" s="93" t="s">
        <v>63</v>
      </c>
      <c r="D15" s="101" t="s">
        <v>64</v>
      </c>
      <c r="E15" s="101" t="s">
        <v>65</v>
      </c>
      <c r="F15" s="101" t="s">
        <v>27</v>
      </c>
      <c r="G15" s="101" t="s">
        <v>66</v>
      </c>
    </row>
    <row r="16" spans="1:9" ht="15" thickTop="1" x14ac:dyDescent="0.3">
      <c r="A16" s="102">
        <f>'1'!$A$1</f>
        <v>46174</v>
      </c>
      <c r="B16" s="95">
        <f>'1'!$A$84</f>
        <v>0</v>
      </c>
      <c r="C16" s="103">
        <f>'1'!$C$3</f>
        <v>0</v>
      </c>
      <c r="D16" s="79">
        <f>'1'!$E$2</f>
        <v>0</v>
      </c>
      <c r="E16" s="79">
        <f>'1'!$B$81</f>
        <v>0</v>
      </c>
      <c r="F16" s="79">
        <f>$C$13/30</f>
        <v>39874.570053333337</v>
      </c>
      <c r="G16" s="79">
        <f>D16-E16-F16</f>
        <v>-39874.570053333337</v>
      </c>
      <c r="I16" s="50" t="b">
        <f>E16='1'!$B$81</f>
        <v>1</v>
      </c>
    </row>
    <row r="17" spans="1:9" x14ac:dyDescent="0.3">
      <c r="A17" s="104">
        <f>'2'!$A$1</f>
        <v>46175</v>
      </c>
      <c r="B17" s="96">
        <f>'2'!$A$84</f>
        <v>0</v>
      </c>
      <c r="C17" s="105">
        <f>'2'!$C$3</f>
        <v>0</v>
      </c>
      <c r="D17" s="68">
        <f>'2'!$E$2</f>
        <v>0</v>
      </c>
      <c r="E17" s="68">
        <f>'2'!$B$81</f>
        <v>0</v>
      </c>
      <c r="F17" s="79">
        <f t="shared" ref="F17:F45" si="0">$C$13/30</f>
        <v>39874.570053333337</v>
      </c>
      <c r="G17" s="68">
        <f t="shared" ref="G17:G46" si="1">D17-E17-F17</f>
        <v>-39874.570053333337</v>
      </c>
      <c r="I17" s="50" t="b">
        <f>E17='2'!B81</f>
        <v>1</v>
      </c>
    </row>
    <row r="18" spans="1:9" x14ac:dyDescent="0.3">
      <c r="A18" s="104">
        <f>'3'!$A$1</f>
        <v>46176</v>
      </c>
      <c r="B18" s="96">
        <f>'3'!$A$84</f>
        <v>0</v>
      </c>
      <c r="C18" s="105">
        <f>'3'!$C$3</f>
        <v>0</v>
      </c>
      <c r="D18" s="68">
        <f>'3'!$E$2</f>
        <v>0</v>
      </c>
      <c r="E18" s="68">
        <f>'3'!$B$81</f>
        <v>0</v>
      </c>
      <c r="F18" s="79">
        <f t="shared" si="0"/>
        <v>39874.570053333337</v>
      </c>
      <c r="G18" s="68">
        <f t="shared" si="1"/>
        <v>-39874.570053333337</v>
      </c>
      <c r="I18" s="50" t="b">
        <f>E18='3'!B81</f>
        <v>1</v>
      </c>
    </row>
    <row r="19" spans="1:9" x14ac:dyDescent="0.3">
      <c r="A19" s="104">
        <f>'4'!$A$1</f>
        <v>46177</v>
      </c>
      <c r="B19" s="96">
        <f>'4'!$A$84</f>
        <v>0</v>
      </c>
      <c r="C19" s="105">
        <f>'4'!$C$3</f>
        <v>0</v>
      </c>
      <c r="D19" s="68">
        <f>'4'!$E$2</f>
        <v>0</v>
      </c>
      <c r="E19" s="68">
        <f>'4'!$B$81</f>
        <v>0</v>
      </c>
      <c r="F19" s="79">
        <f t="shared" si="0"/>
        <v>39874.570053333337</v>
      </c>
      <c r="G19" s="68">
        <f t="shared" si="1"/>
        <v>-39874.570053333337</v>
      </c>
      <c r="I19" s="50" t="b">
        <f>E19='4'!B81</f>
        <v>1</v>
      </c>
    </row>
    <row r="20" spans="1:9" x14ac:dyDescent="0.3">
      <c r="A20" s="104">
        <f>'5'!$A$1</f>
        <v>46178</v>
      </c>
      <c r="B20" s="96" t="str">
        <f>'5'!$A$84</f>
        <v>SEDA METE CANLI PERFORMANS</v>
      </c>
      <c r="C20" s="105">
        <f>'5'!$C$3</f>
        <v>45</v>
      </c>
      <c r="D20" s="68">
        <f>'5'!$E$2</f>
        <v>268265</v>
      </c>
      <c r="E20" s="68">
        <f>'5'!$B$81</f>
        <v>297227.46470400004</v>
      </c>
      <c r="F20" s="79">
        <f t="shared" si="0"/>
        <v>39874.570053333337</v>
      </c>
      <c r="G20" s="68">
        <f t="shared" si="1"/>
        <v>-68837.034757333371</v>
      </c>
      <c r="I20" s="50" t="b">
        <f>E20='5'!B81</f>
        <v>1</v>
      </c>
    </row>
    <row r="21" spans="1:9" x14ac:dyDescent="0.3">
      <c r="A21" s="104">
        <f>'6'!$A$1</f>
        <v>46179</v>
      </c>
      <c r="B21" s="96">
        <f>'6'!$A$84</f>
        <v>0</v>
      </c>
      <c r="C21" s="105">
        <f>'6'!$C$3</f>
        <v>0</v>
      </c>
      <c r="D21" s="68">
        <f>'6'!$E$2</f>
        <v>0</v>
      </c>
      <c r="E21" s="68">
        <f>'6'!$B$81</f>
        <v>0</v>
      </c>
      <c r="F21" s="79">
        <f t="shared" si="0"/>
        <v>39874.570053333337</v>
      </c>
      <c r="G21" s="68">
        <f t="shared" si="1"/>
        <v>-39874.570053333337</v>
      </c>
      <c r="I21" s="50" t="b">
        <f>E21='6'!B81</f>
        <v>1</v>
      </c>
    </row>
    <row r="22" spans="1:9" x14ac:dyDescent="0.3">
      <c r="A22" s="104">
        <f>'7'!$A$1</f>
        <v>46180</v>
      </c>
      <c r="B22" s="96">
        <f>'7'!$A$84</f>
        <v>0</v>
      </c>
      <c r="C22" s="105">
        <f>'7'!$C$3</f>
        <v>0</v>
      </c>
      <c r="D22" s="68">
        <f>'7'!$E$2</f>
        <v>0</v>
      </c>
      <c r="E22" s="68">
        <f>'7'!$B$81</f>
        <v>0</v>
      </c>
      <c r="F22" s="79">
        <f t="shared" si="0"/>
        <v>39874.570053333337</v>
      </c>
      <c r="G22" s="68">
        <f t="shared" si="1"/>
        <v>-39874.570053333337</v>
      </c>
      <c r="I22" s="50" t="b">
        <f>E22='7'!B81</f>
        <v>1</v>
      </c>
    </row>
    <row r="23" spans="1:9" x14ac:dyDescent="0.3">
      <c r="A23" s="104">
        <f>'8'!$A$1</f>
        <v>46181</v>
      </c>
      <c r="B23" s="96">
        <f>'8'!$A$84</f>
        <v>0</v>
      </c>
      <c r="C23" s="105">
        <f>'8'!$C$3</f>
        <v>0</v>
      </c>
      <c r="D23" s="68">
        <f>'8'!$E$2</f>
        <v>0</v>
      </c>
      <c r="E23" s="68">
        <f>'8'!$B$81</f>
        <v>0</v>
      </c>
      <c r="F23" s="79">
        <f t="shared" si="0"/>
        <v>39874.570053333337</v>
      </c>
      <c r="G23" s="68">
        <f t="shared" si="1"/>
        <v>-39874.570053333337</v>
      </c>
      <c r="I23" s="50" t="b">
        <f>E23='8'!B81</f>
        <v>1</v>
      </c>
    </row>
    <row r="24" spans="1:9" x14ac:dyDescent="0.3">
      <c r="A24" s="104">
        <f>'9'!$A$1</f>
        <v>46182</v>
      </c>
      <c r="B24" s="96">
        <f>'9'!$A$84</f>
        <v>0</v>
      </c>
      <c r="C24" s="105">
        <f>'9'!$C$3</f>
        <v>0</v>
      </c>
      <c r="D24" s="68">
        <f>'9'!$E$2</f>
        <v>0</v>
      </c>
      <c r="E24" s="68">
        <f>'9'!$B$81</f>
        <v>0</v>
      </c>
      <c r="F24" s="79">
        <f t="shared" si="0"/>
        <v>39874.570053333337</v>
      </c>
      <c r="G24" s="68">
        <f t="shared" si="1"/>
        <v>-39874.570053333337</v>
      </c>
      <c r="I24" s="50" t="b">
        <f>E24='9'!B81</f>
        <v>1</v>
      </c>
    </row>
    <row r="25" spans="1:9" x14ac:dyDescent="0.3">
      <c r="A25" s="104">
        <f>'10'!$A$1</f>
        <v>46183</v>
      </c>
      <c r="B25" s="96">
        <f>'10'!$A$84</f>
        <v>0</v>
      </c>
      <c r="C25" s="105">
        <f>'10'!$C$3</f>
        <v>0</v>
      </c>
      <c r="D25" s="68">
        <f>'10'!$E$2</f>
        <v>0</v>
      </c>
      <c r="E25" s="68">
        <f>'10'!$B$81</f>
        <v>0</v>
      </c>
      <c r="F25" s="79">
        <f t="shared" si="0"/>
        <v>39874.570053333337</v>
      </c>
      <c r="G25" s="68">
        <f t="shared" si="1"/>
        <v>-39874.570053333337</v>
      </c>
      <c r="I25" s="50" t="b">
        <f>E25='10'!B81</f>
        <v>1</v>
      </c>
    </row>
    <row r="26" spans="1:9" x14ac:dyDescent="0.3">
      <c r="A26" s="104">
        <f>'11'!$A$1</f>
        <v>46184</v>
      </c>
      <c r="B26" s="96">
        <f>'11'!$A$84</f>
        <v>0</v>
      </c>
      <c r="C26" s="105">
        <f>'11'!$C$3</f>
        <v>0</v>
      </c>
      <c r="D26" s="68">
        <f>'11'!$E$2</f>
        <v>0</v>
      </c>
      <c r="E26" s="68">
        <f>'11'!$B$81</f>
        <v>0</v>
      </c>
      <c r="F26" s="79">
        <f t="shared" si="0"/>
        <v>39874.570053333337</v>
      </c>
      <c r="G26" s="68">
        <f t="shared" si="1"/>
        <v>-39874.570053333337</v>
      </c>
      <c r="I26" s="50" t="b">
        <f>E26='11'!B81</f>
        <v>1</v>
      </c>
    </row>
    <row r="27" spans="1:9" x14ac:dyDescent="0.3">
      <c r="A27" s="104">
        <f>'12'!$A$1</f>
        <v>46185</v>
      </c>
      <c r="B27" s="96">
        <f>'12'!$A$84</f>
        <v>0</v>
      </c>
      <c r="C27" s="105">
        <f>'12'!$C$3</f>
        <v>0</v>
      </c>
      <c r="D27" s="68">
        <f>'12'!$E$2</f>
        <v>0</v>
      </c>
      <c r="E27" s="68">
        <f>'12'!$B$81</f>
        <v>0</v>
      </c>
      <c r="F27" s="79">
        <f t="shared" si="0"/>
        <v>39874.570053333337</v>
      </c>
      <c r="G27" s="68">
        <f t="shared" si="1"/>
        <v>-39874.570053333337</v>
      </c>
      <c r="I27" s="50" t="b">
        <f>E27='12'!B81</f>
        <v>1</v>
      </c>
    </row>
    <row r="28" spans="1:9" x14ac:dyDescent="0.3">
      <c r="A28" s="104">
        <f>'13'!$A$1</f>
        <v>46186</v>
      </c>
      <c r="B28" s="96">
        <f>'13'!$A$84</f>
        <v>0</v>
      </c>
      <c r="C28" s="105">
        <f>'13'!$C$3</f>
        <v>0</v>
      </c>
      <c r="D28" s="68">
        <f>'13'!$E$2</f>
        <v>0</v>
      </c>
      <c r="E28" s="68">
        <f>'13'!$B$81</f>
        <v>0</v>
      </c>
      <c r="F28" s="79">
        <f t="shared" si="0"/>
        <v>39874.570053333337</v>
      </c>
      <c r="G28" s="68">
        <f t="shared" si="1"/>
        <v>-39874.570053333337</v>
      </c>
      <c r="I28" s="50" t="b">
        <f>E28='13'!B81</f>
        <v>1</v>
      </c>
    </row>
    <row r="29" spans="1:9" x14ac:dyDescent="0.3">
      <c r="A29" s="104">
        <f>'14'!$A$1</f>
        <v>46187</v>
      </c>
      <c r="B29" s="96">
        <f>'14'!$A$84</f>
        <v>0</v>
      </c>
      <c r="C29" s="105">
        <f>'14'!$C$3</f>
        <v>0</v>
      </c>
      <c r="D29" s="68">
        <f>'14'!$E$2</f>
        <v>0</v>
      </c>
      <c r="E29" s="68">
        <f>'14'!$B$81</f>
        <v>0</v>
      </c>
      <c r="F29" s="79">
        <f t="shared" si="0"/>
        <v>39874.570053333337</v>
      </c>
      <c r="G29" s="68">
        <f t="shared" si="1"/>
        <v>-39874.570053333337</v>
      </c>
      <c r="I29" s="50" t="b">
        <f>E29='14'!B81</f>
        <v>1</v>
      </c>
    </row>
    <row r="30" spans="1:9" x14ac:dyDescent="0.3">
      <c r="A30" s="104">
        <f>'15'!$A$1</f>
        <v>46188</v>
      </c>
      <c r="B30" s="96">
        <f>'15'!$A$84</f>
        <v>0</v>
      </c>
      <c r="C30" s="105">
        <f>'15'!$C$3</f>
        <v>0</v>
      </c>
      <c r="D30" s="68">
        <f>'15'!$E$2</f>
        <v>0</v>
      </c>
      <c r="E30" s="68">
        <f>'15'!$B$81</f>
        <v>0</v>
      </c>
      <c r="F30" s="79">
        <f t="shared" si="0"/>
        <v>39874.570053333337</v>
      </c>
      <c r="G30" s="68">
        <f t="shared" si="1"/>
        <v>-39874.570053333337</v>
      </c>
      <c r="I30" s="50" t="b">
        <f>E30='15'!$B$81</f>
        <v>1</v>
      </c>
    </row>
    <row r="31" spans="1:9" x14ac:dyDescent="0.3">
      <c r="A31" s="104">
        <f>'16'!$A$1</f>
        <v>46189</v>
      </c>
      <c r="B31" s="96">
        <f>'16'!$A$84</f>
        <v>0</v>
      </c>
      <c r="C31" s="105">
        <f>'16'!$C$3</f>
        <v>0</v>
      </c>
      <c r="D31" s="68">
        <f>'16'!$E$2</f>
        <v>0</v>
      </c>
      <c r="E31" s="68">
        <f>'16'!$B$81</f>
        <v>0</v>
      </c>
      <c r="F31" s="79">
        <f t="shared" si="0"/>
        <v>39874.570053333337</v>
      </c>
      <c r="G31" s="68">
        <f t="shared" si="1"/>
        <v>-39874.570053333337</v>
      </c>
      <c r="I31" s="50" t="b">
        <f>E31='16'!$B$81</f>
        <v>1</v>
      </c>
    </row>
    <row r="32" spans="1:9" x14ac:dyDescent="0.3">
      <c r="A32" s="104">
        <f>'17'!$A$1</f>
        <v>46190</v>
      </c>
      <c r="B32" s="96">
        <f>'17'!$A$84</f>
        <v>0</v>
      </c>
      <c r="C32" s="105">
        <f>'17'!$C$3</f>
        <v>0</v>
      </c>
      <c r="D32" s="68">
        <f>'17'!$E$2</f>
        <v>0</v>
      </c>
      <c r="E32" s="68">
        <f>'17'!$B$81</f>
        <v>0</v>
      </c>
      <c r="F32" s="79">
        <f t="shared" si="0"/>
        <v>39874.570053333337</v>
      </c>
      <c r="G32" s="68">
        <f t="shared" si="1"/>
        <v>-39874.570053333337</v>
      </c>
      <c r="I32" s="50" t="b">
        <f>E32='17'!$B$81</f>
        <v>1</v>
      </c>
    </row>
    <row r="33" spans="1:9" ht="25.8" customHeight="1" x14ac:dyDescent="0.3">
      <c r="A33" s="104">
        <f>'18'!$A$1</f>
        <v>46191</v>
      </c>
      <c r="B33" s="96">
        <f>'18'!$A$84</f>
        <v>0</v>
      </c>
      <c r="C33" s="105">
        <f>'18'!$C$3</f>
        <v>0</v>
      </c>
      <c r="D33" s="68">
        <f>'18'!$E$2</f>
        <v>0</v>
      </c>
      <c r="E33" s="68">
        <f>'18'!$B$81</f>
        <v>0</v>
      </c>
      <c r="F33" s="79">
        <f t="shared" si="0"/>
        <v>39874.570053333337</v>
      </c>
      <c r="G33" s="68">
        <f t="shared" si="1"/>
        <v>-39874.570053333337</v>
      </c>
      <c r="I33" s="50" t="b">
        <f>E33='18'!$B$81</f>
        <v>1</v>
      </c>
    </row>
    <row r="34" spans="1:9" s="142" customFormat="1" x14ac:dyDescent="0.3">
      <c r="A34" s="136">
        <f>'19'!$A$1</f>
        <v>46192</v>
      </c>
      <c r="B34" s="137">
        <f>'19'!$A$84</f>
        <v>0</v>
      </c>
      <c r="C34" s="138">
        <f>'19'!$C$3</f>
        <v>0</v>
      </c>
      <c r="D34" s="139">
        <f>'19'!$E$2</f>
        <v>0</v>
      </c>
      <c r="E34" s="140">
        <f>'19'!$B$81</f>
        <v>0</v>
      </c>
      <c r="F34" s="79">
        <f t="shared" si="0"/>
        <v>39874.570053333337</v>
      </c>
      <c r="G34" s="141">
        <f t="shared" si="1"/>
        <v>-39874.570053333337</v>
      </c>
      <c r="I34" s="143" t="b">
        <f>E34='19'!$B$81</f>
        <v>1</v>
      </c>
    </row>
    <row r="35" spans="1:9" s="142" customFormat="1" x14ac:dyDescent="0.3">
      <c r="A35" s="136">
        <f>'20'!$A$1</f>
        <v>46193</v>
      </c>
      <c r="B35" s="137">
        <f>'20'!$A$84</f>
        <v>0</v>
      </c>
      <c r="C35" s="138">
        <f>'20'!$C$3</f>
        <v>0</v>
      </c>
      <c r="D35" s="139">
        <f>'20'!$E$2</f>
        <v>0</v>
      </c>
      <c r="E35" s="140">
        <f>'20'!$B$81</f>
        <v>0</v>
      </c>
      <c r="F35" s="79">
        <f t="shared" si="0"/>
        <v>39874.570053333337</v>
      </c>
      <c r="G35" s="141">
        <f t="shared" si="1"/>
        <v>-39874.570053333337</v>
      </c>
      <c r="I35" s="143" t="b">
        <f>E35='20'!$B$81</f>
        <v>1</v>
      </c>
    </row>
    <row r="36" spans="1:9" x14ac:dyDescent="0.3">
      <c r="A36" s="104">
        <f>'21'!$A$1</f>
        <v>46194</v>
      </c>
      <c r="B36" s="96">
        <f>'21'!$A$84</f>
        <v>0</v>
      </c>
      <c r="C36" s="105">
        <f>'21'!$C$3</f>
        <v>0</v>
      </c>
      <c r="D36" s="68">
        <f>'21'!$E$2</f>
        <v>0</v>
      </c>
      <c r="E36" s="68">
        <f>'21'!$B$81</f>
        <v>0</v>
      </c>
      <c r="F36" s="79">
        <f t="shared" si="0"/>
        <v>39874.570053333337</v>
      </c>
      <c r="G36" s="68">
        <f t="shared" si="1"/>
        <v>-39874.570053333337</v>
      </c>
      <c r="I36" s="50" t="b">
        <f>E36='21'!$B$81</f>
        <v>1</v>
      </c>
    </row>
    <row r="37" spans="1:9" x14ac:dyDescent="0.3">
      <c r="A37" s="104">
        <f>'22'!$A$1</f>
        <v>46195</v>
      </c>
      <c r="B37" s="96">
        <f>'22'!$A$84</f>
        <v>0</v>
      </c>
      <c r="C37" s="105">
        <f>'22'!$C$3</f>
        <v>0</v>
      </c>
      <c r="D37" s="68">
        <f>'22'!$E$2</f>
        <v>0</v>
      </c>
      <c r="E37" s="68">
        <f>'22'!$B$81</f>
        <v>0</v>
      </c>
      <c r="F37" s="79">
        <f t="shared" si="0"/>
        <v>39874.570053333337</v>
      </c>
      <c r="G37" s="68">
        <f t="shared" si="1"/>
        <v>-39874.570053333337</v>
      </c>
      <c r="I37" s="50" t="b">
        <f>E37='22'!$B$81</f>
        <v>1</v>
      </c>
    </row>
    <row r="38" spans="1:9" x14ac:dyDescent="0.3">
      <c r="A38" s="104">
        <f>'23'!$A$1</f>
        <v>46196</v>
      </c>
      <c r="B38" s="96">
        <f>'23'!$A$84</f>
        <v>0</v>
      </c>
      <c r="C38" s="105">
        <f>'23'!$C$3</f>
        <v>0</v>
      </c>
      <c r="D38" s="68">
        <f>'23'!$E$2</f>
        <v>0</v>
      </c>
      <c r="E38" s="68">
        <f>'23'!$B$81</f>
        <v>0</v>
      </c>
      <c r="F38" s="79">
        <f t="shared" si="0"/>
        <v>39874.570053333337</v>
      </c>
      <c r="G38" s="68">
        <f t="shared" si="1"/>
        <v>-39874.570053333337</v>
      </c>
      <c r="I38" s="50" t="b">
        <f>E38='23'!$B$81</f>
        <v>1</v>
      </c>
    </row>
    <row r="39" spans="1:9" x14ac:dyDescent="0.3">
      <c r="A39" s="104">
        <f>'24'!$A$1</f>
        <v>46197</v>
      </c>
      <c r="B39" s="96">
        <f>'24'!$A$84</f>
        <v>0</v>
      </c>
      <c r="C39" s="105">
        <f>'24'!$C$3</f>
        <v>0</v>
      </c>
      <c r="D39" s="68">
        <f>'24'!$E$2</f>
        <v>0</v>
      </c>
      <c r="E39" s="68">
        <f>'24'!$B$81</f>
        <v>0</v>
      </c>
      <c r="F39" s="79">
        <f t="shared" si="0"/>
        <v>39874.570053333337</v>
      </c>
      <c r="G39" s="68">
        <f t="shared" si="1"/>
        <v>-39874.570053333337</v>
      </c>
      <c r="I39" s="50" t="b">
        <f>E39='24'!$B$81</f>
        <v>1</v>
      </c>
    </row>
    <row r="40" spans="1:9" x14ac:dyDescent="0.3">
      <c r="A40" s="104">
        <f>'25'!$A$1</f>
        <v>46198</v>
      </c>
      <c r="B40" s="96">
        <f>'25'!$A$84</f>
        <v>0</v>
      </c>
      <c r="C40" s="105">
        <f>'25'!$C$3</f>
        <v>0</v>
      </c>
      <c r="D40" s="68">
        <f>'25'!$E$2</f>
        <v>0</v>
      </c>
      <c r="E40" s="68">
        <f>'25'!$B$81</f>
        <v>0</v>
      </c>
      <c r="F40" s="79">
        <f t="shared" si="0"/>
        <v>39874.570053333337</v>
      </c>
      <c r="G40" s="68">
        <f t="shared" si="1"/>
        <v>-39874.570053333337</v>
      </c>
      <c r="I40" s="50" t="b">
        <f>E40='25'!$B$81</f>
        <v>1</v>
      </c>
    </row>
    <row r="41" spans="1:9" x14ac:dyDescent="0.3">
      <c r="A41" s="104">
        <f>'26'!$A$1</f>
        <v>46199</v>
      </c>
      <c r="B41" s="96">
        <f>'26'!$A$84</f>
        <v>0</v>
      </c>
      <c r="C41" s="105">
        <f>'26'!$C$3</f>
        <v>0</v>
      </c>
      <c r="D41" s="68">
        <f>'26'!$E$2</f>
        <v>0</v>
      </c>
      <c r="E41" s="68">
        <f>'26'!$B$81</f>
        <v>0</v>
      </c>
      <c r="F41" s="79">
        <f t="shared" si="0"/>
        <v>39874.570053333337</v>
      </c>
      <c r="G41" s="68">
        <f t="shared" si="1"/>
        <v>-39874.570053333337</v>
      </c>
      <c r="I41" s="50" t="b">
        <f>E41='26'!$B$81</f>
        <v>1</v>
      </c>
    </row>
    <row r="42" spans="1:9" x14ac:dyDescent="0.3">
      <c r="A42" s="104">
        <f>'27'!$A$1</f>
        <v>46200</v>
      </c>
      <c r="B42" s="96">
        <f>'27'!$A$84</f>
        <v>0</v>
      </c>
      <c r="C42" s="105">
        <f>'27'!$C$3</f>
        <v>0</v>
      </c>
      <c r="D42" s="68">
        <f>'27'!$E$2</f>
        <v>0</v>
      </c>
      <c r="E42" s="68">
        <f>'27'!$B$81</f>
        <v>0</v>
      </c>
      <c r="F42" s="79">
        <f t="shared" si="0"/>
        <v>39874.570053333337</v>
      </c>
      <c r="G42" s="68">
        <f t="shared" si="1"/>
        <v>-39874.570053333337</v>
      </c>
      <c r="I42" s="50" t="b">
        <f>E42='27'!$B$81</f>
        <v>1</v>
      </c>
    </row>
    <row r="43" spans="1:9" x14ac:dyDescent="0.3">
      <c r="A43" s="104">
        <f>'28'!$A$1</f>
        <v>46201</v>
      </c>
      <c r="B43" s="96">
        <f>'28'!$A$84</f>
        <v>0</v>
      </c>
      <c r="C43" s="105">
        <f>'28'!$C$3</f>
        <v>0</v>
      </c>
      <c r="D43" s="68">
        <f>'28'!$E$2</f>
        <v>0</v>
      </c>
      <c r="E43" s="68">
        <f>'28'!$B$81</f>
        <v>0</v>
      </c>
      <c r="F43" s="79">
        <f t="shared" si="0"/>
        <v>39874.570053333337</v>
      </c>
      <c r="G43" s="68">
        <f t="shared" si="1"/>
        <v>-39874.570053333337</v>
      </c>
      <c r="I43" s="50" t="b">
        <f>E43='28'!$B$81</f>
        <v>1</v>
      </c>
    </row>
    <row r="44" spans="1:9" x14ac:dyDescent="0.3">
      <c r="A44" s="104">
        <f>'29'!$A$1</f>
        <v>46202</v>
      </c>
      <c r="B44" s="96">
        <f>'29'!$A$84</f>
        <v>0</v>
      </c>
      <c r="C44" s="105">
        <f>'29'!$C$3</f>
        <v>0</v>
      </c>
      <c r="D44" s="68">
        <f>'29'!$E$2</f>
        <v>0</v>
      </c>
      <c r="E44" s="68">
        <f>'29'!$B$81</f>
        <v>0</v>
      </c>
      <c r="F44" s="79">
        <f t="shared" si="0"/>
        <v>39874.570053333337</v>
      </c>
      <c r="G44" s="68">
        <f t="shared" si="1"/>
        <v>-39874.570053333337</v>
      </c>
      <c r="I44" s="50" t="b">
        <f>E44='29'!$B$81</f>
        <v>1</v>
      </c>
    </row>
    <row r="45" spans="1:9" x14ac:dyDescent="0.3">
      <c r="A45" s="104">
        <f>'30'!$A$1</f>
        <v>46203</v>
      </c>
      <c r="B45" s="96">
        <f>'30'!$A$84</f>
        <v>0</v>
      </c>
      <c r="C45" s="105">
        <f>'30'!$C$3</f>
        <v>0</v>
      </c>
      <c r="D45" s="68">
        <f>'30'!$E$2</f>
        <v>0</v>
      </c>
      <c r="E45" s="68">
        <f>'30'!$B$81</f>
        <v>0</v>
      </c>
      <c r="F45" s="79">
        <f t="shared" si="0"/>
        <v>39874.570053333337</v>
      </c>
      <c r="G45" s="68">
        <f t="shared" si="1"/>
        <v>-39874.570053333337</v>
      </c>
      <c r="I45" s="50" t="b">
        <f>E45='30'!$B$81</f>
        <v>1</v>
      </c>
    </row>
    <row r="46" spans="1:9" ht="15" thickBot="1" x14ac:dyDescent="0.35">
      <c r="A46" s="106">
        <f>'31'!$A$1</f>
        <v>46204</v>
      </c>
      <c r="B46" s="97">
        <f>'31'!$A$84</f>
        <v>0</v>
      </c>
      <c r="C46" s="107">
        <f>'31'!$C$3</f>
        <v>0</v>
      </c>
      <c r="D46" s="98">
        <f>'31'!$E$2</f>
        <v>0</v>
      </c>
      <c r="E46" s="98">
        <f>'31'!$B$81</f>
        <v>0</v>
      </c>
      <c r="F46" s="98"/>
      <c r="G46" s="98">
        <f t="shared" si="1"/>
        <v>0</v>
      </c>
      <c r="I46" s="50" t="b">
        <f>E46='31'!$B$81</f>
        <v>1</v>
      </c>
    </row>
    <row r="47" spans="1:9" ht="15.6" thickTop="1" thickBot="1" x14ac:dyDescent="0.35">
      <c r="A47" s="317" t="s">
        <v>67</v>
      </c>
      <c r="B47" s="317"/>
      <c r="C47" s="94">
        <f t="shared" ref="C47:E47" si="2">SUM(C16:C46)</f>
        <v>45</v>
      </c>
      <c r="D47" s="99">
        <f t="shared" si="2"/>
        <v>268265</v>
      </c>
      <c r="E47" s="99">
        <f t="shared" si="2"/>
        <v>297227.46470400004</v>
      </c>
      <c r="F47" s="99">
        <f>SUM(F16:F46)</f>
        <v>1196237.1015999999</v>
      </c>
      <c r="G47" s="99">
        <f>SUM(G16:G46)</f>
        <v>-1225199.5663040001</v>
      </c>
      <c r="H47" s="76"/>
      <c r="I47" s="153"/>
    </row>
    <row r="48" spans="1:9" ht="15" thickTop="1" x14ac:dyDescent="0.3">
      <c r="E48" s="50">
        <f>E47-I47</f>
        <v>297227.46470400004</v>
      </c>
    </row>
    <row r="70" spans="1:1" x14ac:dyDescent="0.3">
      <c r="A70" s="92" t="s">
        <v>85</v>
      </c>
    </row>
  </sheetData>
  <mergeCells count="1">
    <mergeCell ref="A47:B47"/>
  </mergeCells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2E09-52AD-4C76-BB0C-ED1E7B7D97C0}">
  <dimension ref="A1:P37"/>
  <sheetViews>
    <sheetView workbookViewId="0">
      <selection activeCell="Q8" sqref="Q8"/>
    </sheetView>
  </sheetViews>
  <sheetFormatPr defaultRowHeight="14.4" x14ac:dyDescent="0.3"/>
  <cols>
    <col min="1" max="1" width="11.21875" style="49" customWidth="1"/>
    <col min="2" max="2" width="11" style="6" bestFit="1" customWidth="1"/>
    <col min="3" max="3" width="11" style="185" customWidth="1"/>
    <col min="4" max="4" width="14.109375" style="185" customWidth="1"/>
    <col min="5" max="5" width="10" style="49" bestFit="1" customWidth="1"/>
    <col min="6" max="6" width="11.88671875" style="49" customWidth="1"/>
    <col min="7" max="11" width="10" style="49" bestFit="1" customWidth="1"/>
    <col min="12" max="12" width="10.6640625" style="49" customWidth="1"/>
    <col min="13" max="13" width="11" style="49" bestFit="1" customWidth="1"/>
    <col min="14" max="14" width="10.33203125" style="49" customWidth="1"/>
    <col min="15" max="16" width="8.88671875" style="49"/>
  </cols>
  <sheetData>
    <row r="1" spans="1:16" ht="31.8" thickBot="1" x14ac:dyDescent="0.65">
      <c r="A1" s="318" t="s">
        <v>146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</row>
    <row r="2" spans="1:16" ht="30" thickTop="1" thickBot="1" x14ac:dyDescent="0.35">
      <c r="A2" s="266" t="s">
        <v>61</v>
      </c>
      <c r="B2" s="319" t="s">
        <v>129</v>
      </c>
      <c r="C2" s="321" t="s">
        <v>130</v>
      </c>
      <c r="D2" s="321" t="s">
        <v>131</v>
      </c>
      <c r="E2" s="167" t="s">
        <v>132</v>
      </c>
      <c r="F2" s="167" t="s">
        <v>133</v>
      </c>
      <c r="G2" s="167" t="s">
        <v>134</v>
      </c>
      <c r="H2" s="167" t="s">
        <v>135</v>
      </c>
      <c r="I2" s="167" t="s">
        <v>136</v>
      </c>
      <c r="J2" s="167" t="s">
        <v>137</v>
      </c>
      <c r="K2" s="167" t="s">
        <v>138</v>
      </c>
      <c r="L2" s="167" t="s">
        <v>139</v>
      </c>
      <c r="M2" s="167" t="s">
        <v>140</v>
      </c>
      <c r="N2" s="266" t="s">
        <v>141</v>
      </c>
      <c r="O2" s="168"/>
      <c r="P2" s="168"/>
    </row>
    <row r="3" spans="1:16" ht="15.6" thickTop="1" thickBot="1" x14ac:dyDescent="0.35">
      <c r="A3" s="268"/>
      <c r="B3" s="320"/>
      <c r="C3" s="322"/>
      <c r="D3" s="322"/>
      <c r="E3" s="166">
        <v>12</v>
      </c>
      <c r="F3" s="166">
        <v>10</v>
      </c>
      <c r="G3" s="166">
        <v>10</v>
      </c>
      <c r="H3" s="166">
        <v>8</v>
      </c>
      <c r="I3" s="166">
        <v>8</v>
      </c>
      <c r="J3" s="166"/>
      <c r="K3" s="166"/>
      <c r="L3" s="166">
        <v>5</v>
      </c>
      <c r="M3" s="166">
        <f>SUM(E3:L3)</f>
        <v>53</v>
      </c>
      <c r="N3" s="268"/>
      <c r="O3" s="168"/>
      <c r="P3" s="168"/>
    </row>
    <row r="4" spans="1:16" ht="15.6" thickTop="1" thickBot="1" x14ac:dyDescent="0.35">
      <c r="A4" s="169">
        <f>'1'!A1</f>
        <v>46174</v>
      </c>
      <c r="B4" s="170">
        <f>'1'!$I$84</f>
        <v>0</v>
      </c>
      <c r="C4" s="171">
        <f>M3</f>
        <v>53</v>
      </c>
      <c r="D4" s="172">
        <f>B4/C4</f>
        <v>0</v>
      </c>
      <c r="E4" s="170">
        <f>D4*$E$3</f>
        <v>0</v>
      </c>
      <c r="F4" s="170">
        <f>D4*$F$3</f>
        <v>0</v>
      </c>
      <c r="G4" s="170">
        <f>D4*$G$3</f>
        <v>0</v>
      </c>
      <c r="H4" s="170">
        <f>D4*$H$3</f>
        <v>0</v>
      </c>
      <c r="I4" s="170">
        <f>D4*$I$3</f>
        <v>0</v>
      </c>
      <c r="J4" s="188" t="s">
        <v>143</v>
      </c>
      <c r="K4" s="188" t="s">
        <v>143</v>
      </c>
      <c r="L4" s="170">
        <f>D4*$L$3</f>
        <v>0</v>
      </c>
      <c r="M4" s="170">
        <f>SUM(E4:L4)</f>
        <v>0</v>
      </c>
      <c r="N4" s="173" t="b">
        <f>B4=M4</f>
        <v>1</v>
      </c>
    </row>
    <row r="5" spans="1:16" ht="15.6" thickTop="1" thickBot="1" x14ac:dyDescent="0.35">
      <c r="A5" s="174">
        <f>A4+1</f>
        <v>46175</v>
      </c>
      <c r="B5" s="175">
        <f>'2'!$I$84</f>
        <v>0</v>
      </c>
      <c r="C5" s="176">
        <f>C4</f>
        <v>53</v>
      </c>
      <c r="D5" s="177">
        <f t="shared" ref="D5:D34" si="0">B5/C5</f>
        <v>0</v>
      </c>
      <c r="E5" s="175">
        <f>D5*$E$3</f>
        <v>0</v>
      </c>
      <c r="F5" s="175">
        <f>D5*$F$3</f>
        <v>0</v>
      </c>
      <c r="G5" s="175">
        <f>D5*$G$3</f>
        <v>0</v>
      </c>
      <c r="H5" s="175">
        <f>D5*$H$3</f>
        <v>0</v>
      </c>
      <c r="I5" s="175">
        <f>D5*$I$3</f>
        <v>0</v>
      </c>
      <c r="J5" s="189" t="s">
        <v>143</v>
      </c>
      <c r="K5" s="189" t="s">
        <v>143</v>
      </c>
      <c r="L5" s="175">
        <f>D5*$L$3</f>
        <v>0</v>
      </c>
      <c r="M5" s="175">
        <f>SUM(E5:L5)</f>
        <v>0</v>
      </c>
      <c r="N5" s="178" t="b">
        <f t="shared" ref="N5:N35" si="1">B5=M5</f>
        <v>1</v>
      </c>
    </row>
    <row r="6" spans="1:16" ht="15.6" thickTop="1" thickBot="1" x14ac:dyDescent="0.35">
      <c r="A6" s="174">
        <f t="shared" ref="A6:A34" si="2">A5+1</f>
        <v>46176</v>
      </c>
      <c r="B6" s="175">
        <f>'3'!$I$84</f>
        <v>0</v>
      </c>
      <c r="C6" s="176">
        <f t="shared" ref="C6:C34" si="3">C5</f>
        <v>53</v>
      </c>
      <c r="D6" s="177">
        <f t="shared" si="0"/>
        <v>0</v>
      </c>
      <c r="E6" s="175">
        <f t="shared" ref="E6:E34" si="4">D6*$E$3</f>
        <v>0</v>
      </c>
      <c r="F6" s="175">
        <f t="shared" ref="F6:F34" si="5">D6*$F$3</f>
        <v>0</v>
      </c>
      <c r="G6" s="175">
        <f t="shared" ref="G6:G34" si="6">D6*$G$3</f>
        <v>0</v>
      </c>
      <c r="H6" s="175">
        <f t="shared" ref="H6:H34" si="7">D6*$H$3</f>
        <v>0</v>
      </c>
      <c r="I6" s="175">
        <f t="shared" ref="I6:I34" si="8">D6*$I$3</f>
        <v>0</v>
      </c>
      <c r="J6" s="189" t="s">
        <v>143</v>
      </c>
      <c r="K6" s="189" t="s">
        <v>143</v>
      </c>
      <c r="L6" s="175">
        <f t="shared" ref="L6:L34" si="9">D6*$L$3</f>
        <v>0</v>
      </c>
      <c r="M6" s="175">
        <f t="shared" ref="M6:M34" si="10">SUM(E6:L6)</f>
        <v>0</v>
      </c>
      <c r="N6" s="178" t="b">
        <f t="shared" si="1"/>
        <v>1</v>
      </c>
    </row>
    <row r="7" spans="1:16" ht="15.6" thickTop="1" thickBot="1" x14ac:dyDescent="0.35">
      <c r="A7" s="174">
        <f t="shared" si="2"/>
        <v>46177</v>
      </c>
      <c r="B7" s="175">
        <f>'4'!$I$84</f>
        <v>0</v>
      </c>
      <c r="C7" s="176">
        <f t="shared" si="3"/>
        <v>53</v>
      </c>
      <c r="D7" s="177">
        <f t="shared" si="0"/>
        <v>0</v>
      </c>
      <c r="E7" s="175">
        <f t="shared" si="4"/>
        <v>0</v>
      </c>
      <c r="F7" s="175">
        <f t="shared" si="5"/>
        <v>0</v>
      </c>
      <c r="G7" s="175">
        <f t="shared" si="6"/>
        <v>0</v>
      </c>
      <c r="H7" s="175">
        <f t="shared" si="7"/>
        <v>0</v>
      </c>
      <c r="I7" s="175">
        <f t="shared" si="8"/>
        <v>0</v>
      </c>
      <c r="J7" s="189" t="s">
        <v>143</v>
      </c>
      <c r="K7" s="189" t="s">
        <v>143</v>
      </c>
      <c r="L7" s="175">
        <f t="shared" si="9"/>
        <v>0</v>
      </c>
      <c r="M7" s="175">
        <f t="shared" si="10"/>
        <v>0</v>
      </c>
      <c r="N7" s="178" t="b">
        <f t="shared" si="1"/>
        <v>1</v>
      </c>
    </row>
    <row r="8" spans="1:16" ht="15.6" thickTop="1" thickBot="1" x14ac:dyDescent="0.35">
      <c r="A8" s="174">
        <f t="shared" si="2"/>
        <v>46178</v>
      </c>
      <c r="B8" s="175">
        <f>'5'!$I$84</f>
        <v>0</v>
      </c>
      <c r="C8" s="176">
        <f t="shared" si="3"/>
        <v>53</v>
      </c>
      <c r="D8" s="177">
        <f t="shared" si="0"/>
        <v>0</v>
      </c>
      <c r="E8" s="175">
        <f t="shared" si="4"/>
        <v>0</v>
      </c>
      <c r="F8" s="175">
        <f t="shared" si="5"/>
        <v>0</v>
      </c>
      <c r="G8" s="175">
        <f t="shared" si="6"/>
        <v>0</v>
      </c>
      <c r="H8" s="175">
        <f t="shared" si="7"/>
        <v>0</v>
      </c>
      <c r="I8" s="175">
        <f t="shared" si="8"/>
        <v>0</v>
      </c>
      <c r="J8" s="189" t="s">
        <v>143</v>
      </c>
      <c r="K8" s="189" t="s">
        <v>143</v>
      </c>
      <c r="L8" s="175">
        <f t="shared" si="9"/>
        <v>0</v>
      </c>
      <c r="M8" s="175">
        <f t="shared" si="10"/>
        <v>0</v>
      </c>
      <c r="N8" s="178" t="b">
        <f t="shared" si="1"/>
        <v>1</v>
      </c>
    </row>
    <row r="9" spans="1:16" ht="15.6" thickTop="1" thickBot="1" x14ac:dyDescent="0.35">
      <c r="A9" s="174">
        <f t="shared" si="2"/>
        <v>46179</v>
      </c>
      <c r="B9" s="175">
        <f>'6'!$I$84</f>
        <v>0</v>
      </c>
      <c r="C9" s="176">
        <f t="shared" si="3"/>
        <v>53</v>
      </c>
      <c r="D9" s="177">
        <f t="shared" si="0"/>
        <v>0</v>
      </c>
      <c r="E9" s="175">
        <f t="shared" si="4"/>
        <v>0</v>
      </c>
      <c r="F9" s="175">
        <f t="shared" si="5"/>
        <v>0</v>
      </c>
      <c r="G9" s="175">
        <f t="shared" si="6"/>
        <v>0</v>
      </c>
      <c r="H9" s="175">
        <f t="shared" si="7"/>
        <v>0</v>
      </c>
      <c r="I9" s="175">
        <f t="shared" si="8"/>
        <v>0</v>
      </c>
      <c r="J9" s="189" t="s">
        <v>143</v>
      </c>
      <c r="K9" s="189" t="s">
        <v>143</v>
      </c>
      <c r="L9" s="175">
        <f t="shared" si="9"/>
        <v>0</v>
      </c>
      <c r="M9" s="175">
        <f t="shared" si="10"/>
        <v>0</v>
      </c>
      <c r="N9" s="178" t="b">
        <f t="shared" si="1"/>
        <v>1</v>
      </c>
    </row>
    <row r="10" spans="1:16" ht="15.6" thickTop="1" thickBot="1" x14ac:dyDescent="0.35">
      <c r="A10" s="174">
        <f t="shared" si="2"/>
        <v>46180</v>
      </c>
      <c r="B10" s="175">
        <f>'7'!$I$84</f>
        <v>0</v>
      </c>
      <c r="C10" s="176">
        <f t="shared" si="3"/>
        <v>53</v>
      </c>
      <c r="D10" s="177">
        <f t="shared" si="0"/>
        <v>0</v>
      </c>
      <c r="E10" s="175">
        <f t="shared" si="4"/>
        <v>0</v>
      </c>
      <c r="F10" s="175">
        <f t="shared" si="5"/>
        <v>0</v>
      </c>
      <c r="G10" s="175">
        <f t="shared" si="6"/>
        <v>0</v>
      </c>
      <c r="H10" s="175">
        <f t="shared" si="7"/>
        <v>0</v>
      </c>
      <c r="I10" s="175">
        <f t="shared" si="8"/>
        <v>0</v>
      </c>
      <c r="J10" s="189" t="s">
        <v>143</v>
      </c>
      <c r="K10" s="189" t="s">
        <v>143</v>
      </c>
      <c r="L10" s="175">
        <f t="shared" si="9"/>
        <v>0</v>
      </c>
      <c r="M10" s="175">
        <f t="shared" si="10"/>
        <v>0</v>
      </c>
      <c r="N10" s="178" t="b">
        <f t="shared" si="1"/>
        <v>1</v>
      </c>
    </row>
    <row r="11" spans="1:16" ht="15.6" thickTop="1" thickBot="1" x14ac:dyDescent="0.35">
      <c r="A11" s="174">
        <f t="shared" si="2"/>
        <v>46181</v>
      </c>
      <c r="B11" s="175">
        <f>'8'!$I$84</f>
        <v>0</v>
      </c>
      <c r="C11" s="176">
        <f t="shared" si="3"/>
        <v>53</v>
      </c>
      <c r="D11" s="177">
        <f t="shared" si="0"/>
        <v>0</v>
      </c>
      <c r="E11" s="175">
        <f t="shared" si="4"/>
        <v>0</v>
      </c>
      <c r="F11" s="175">
        <f t="shared" si="5"/>
        <v>0</v>
      </c>
      <c r="G11" s="175">
        <f t="shared" si="6"/>
        <v>0</v>
      </c>
      <c r="H11" s="175">
        <f t="shared" si="7"/>
        <v>0</v>
      </c>
      <c r="I11" s="175">
        <f t="shared" si="8"/>
        <v>0</v>
      </c>
      <c r="J11" s="189" t="s">
        <v>143</v>
      </c>
      <c r="K11" s="189" t="s">
        <v>143</v>
      </c>
      <c r="L11" s="175">
        <f t="shared" si="9"/>
        <v>0</v>
      </c>
      <c r="M11" s="175">
        <f t="shared" si="10"/>
        <v>0</v>
      </c>
      <c r="N11" s="178" t="b">
        <f t="shared" si="1"/>
        <v>1</v>
      </c>
    </row>
    <row r="12" spans="1:16" ht="15.6" thickTop="1" thickBot="1" x14ac:dyDescent="0.35">
      <c r="A12" s="174">
        <f t="shared" si="2"/>
        <v>46182</v>
      </c>
      <c r="B12" s="175">
        <f>'9'!$I$84</f>
        <v>0</v>
      </c>
      <c r="C12" s="176">
        <f t="shared" si="3"/>
        <v>53</v>
      </c>
      <c r="D12" s="177">
        <f t="shared" si="0"/>
        <v>0</v>
      </c>
      <c r="E12" s="175">
        <f t="shared" si="4"/>
        <v>0</v>
      </c>
      <c r="F12" s="175">
        <f t="shared" si="5"/>
        <v>0</v>
      </c>
      <c r="G12" s="175">
        <f t="shared" si="6"/>
        <v>0</v>
      </c>
      <c r="H12" s="175">
        <f t="shared" si="7"/>
        <v>0</v>
      </c>
      <c r="I12" s="175">
        <f t="shared" si="8"/>
        <v>0</v>
      </c>
      <c r="J12" s="189" t="s">
        <v>143</v>
      </c>
      <c r="K12" s="189" t="s">
        <v>143</v>
      </c>
      <c r="L12" s="175">
        <f t="shared" si="9"/>
        <v>0</v>
      </c>
      <c r="M12" s="175">
        <f t="shared" si="10"/>
        <v>0</v>
      </c>
      <c r="N12" s="178" t="b">
        <f t="shared" si="1"/>
        <v>1</v>
      </c>
    </row>
    <row r="13" spans="1:16" ht="15.6" thickTop="1" thickBot="1" x14ac:dyDescent="0.35">
      <c r="A13" s="174">
        <f t="shared" si="2"/>
        <v>46183</v>
      </c>
      <c r="B13" s="175">
        <f>'10'!$I$84</f>
        <v>0</v>
      </c>
      <c r="C13" s="176">
        <f>C12</f>
        <v>53</v>
      </c>
      <c r="D13" s="177">
        <f t="shared" si="0"/>
        <v>0</v>
      </c>
      <c r="E13" s="175">
        <f t="shared" si="4"/>
        <v>0</v>
      </c>
      <c r="F13" s="175">
        <f t="shared" si="5"/>
        <v>0</v>
      </c>
      <c r="G13" s="175">
        <f t="shared" si="6"/>
        <v>0</v>
      </c>
      <c r="H13" s="175">
        <f t="shared" si="7"/>
        <v>0</v>
      </c>
      <c r="I13" s="175">
        <f t="shared" si="8"/>
        <v>0</v>
      </c>
      <c r="J13" s="189" t="s">
        <v>143</v>
      </c>
      <c r="K13" s="189" t="s">
        <v>143</v>
      </c>
      <c r="L13" s="175">
        <f t="shared" si="9"/>
        <v>0</v>
      </c>
      <c r="M13" s="175">
        <f t="shared" si="10"/>
        <v>0</v>
      </c>
      <c r="N13" s="178" t="b">
        <f t="shared" si="1"/>
        <v>1</v>
      </c>
    </row>
    <row r="14" spans="1:16" ht="15.6" thickTop="1" thickBot="1" x14ac:dyDescent="0.35">
      <c r="A14" s="174">
        <f t="shared" si="2"/>
        <v>46184</v>
      </c>
      <c r="B14" s="175">
        <f>'11'!$I$84</f>
        <v>0</v>
      </c>
      <c r="C14" s="176">
        <v>61</v>
      </c>
      <c r="D14" s="177">
        <f t="shared" si="0"/>
        <v>0</v>
      </c>
      <c r="E14" s="175">
        <f t="shared" si="4"/>
        <v>0</v>
      </c>
      <c r="F14" s="175">
        <f t="shared" si="5"/>
        <v>0</v>
      </c>
      <c r="G14" s="175">
        <f t="shared" si="6"/>
        <v>0</v>
      </c>
      <c r="H14" s="175">
        <f t="shared" si="7"/>
        <v>0</v>
      </c>
      <c r="I14" s="175">
        <f t="shared" si="8"/>
        <v>0</v>
      </c>
      <c r="J14" s="189" t="s">
        <v>143</v>
      </c>
      <c r="K14" s="189" t="s">
        <v>143</v>
      </c>
      <c r="L14" s="175">
        <f t="shared" si="9"/>
        <v>0</v>
      </c>
      <c r="M14" s="175">
        <f t="shared" si="10"/>
        <v>0</v>
      </c>
      <c r="N14" s="178" t="b">
        <f t="shared" si="1"/>
        <v>1</v>
      </c>
    </row>
    <row r="15" spans="1:16" ht="15.6" thickTop="1" thickBot="1" x14ac:dyDescent="0.35">
      <c r="A15" s="174">
        <f t="shared" si="2"/>
        <v>46185</v>
      </c>
      <c r="B15" s="175">
        <f>'12'!$I$84</f>
        <v>0</v>
      </c>
      <c r="C15" s="176">
        <f t="shared" si="3"/>
        <v>61</v>
      </c>
      <c r="D15" s="177">
        <f t="shared" si="0"/>
        <v>0</v>
      </c>
      <c r="E15" s="175">
        <f t="shared" si="4"/>
        <v>0</v>
      </c>
      <c r="F15" s="175">
        <f t="shared" si="5"/>
        <v>0</v>
      </c>
      <c r="G15" s="175">
        <f t="shared" si="6"/>
        <v>0</v>
      </c>
      <c r="H15" s="175">
        <f t="shared" si="7"/>
        <v>0</v>
      </c>
      <c r="I15" s="175">
        <f t="shared" si="8"/>
        <v>0</v>
      </c>
      <c r="J15" s="189" t="s">
        <v>143</v>
      </c>
      <c r="K15" s="189" t="s">
        <v>143</v>
      </c>
      <c r="L15" s="175">
        <f t="shared" si="9"/>
        <v>0</v>
      </c>
      <c r="M15" s="175">
        <f t="shared" si="10"/>
        <v>0</v>
      </c>
      <c r="N15" s="178" t="b">
        <f t="shared" si="1"/>
        <v>1</v>
      </c>
    </row>
    <row r="16" spans="1:16" ht="15.6" thickTop="1" thickBot="1" x14ac:dyDescent="0.35">
      <c r="A16" s="174">
        <f t="shared" si="2"/>
        <v>46186</v>
      </c>
      <c r="B16" s="175">
        <f>'13'!$I$84</f>
        <v>0</v>
      </c>
      <c r="C16" s="176">
        <f t="shared" si="3"/>
        <v>61</v>
      </c>
      <c r="D16" s="177">
        <f t="shared" si="0"/>
        <v>0</v>
      </c>
      <c r="E16" s="175">
        <f t="shared" si="4"/>
        <v>0</v>
      </c>
      <c r="F16" s="175">
        <f t="shared" si="5"/>
        <v>0</v>
      </c>
      <c r="G16" s="175">
        <f t="shared" si="6"/>
        <v>0</v>
      </c>
      <c r="H16" s="175">
        <f t="shared" si="7"/>
        <v>0</v>
      </c>
      <c r="I16" s="175">
        <f t="shared" si="8"/>
        <v>0</v>
      </c>
      <c r="J16" s="189" t="s">
        <v>143</v>
      </c>
      <c r="K16" s="189" t="s">
        <v>143</v>
      </c>
      <c r="L16" s="175">
        <f t="shared" si="9"/>
        <v>0</v>
      </c>
      <c r="M16" s="175">
        <f t="shared" si="10"/>
        <v>0</v>
      </c>
      <c r="N16" s="178" t="b">
        <f t="shared" si="1"/>
        <v>1</v>
      </c>
    </row>
    <row r="17" spans="1:14" ht="15.6" thickTop="1" thickBot="1" x14ac:dyDescent="0.35">
      <c r="A17" s="174">
        <f t="shared" si="2"/>
        <v>46187</v>
      </c>
      <c r="B17" s="175">
        <f>'14'!$I$84</f>
        <v>0</v>
      </c>
      <c r="C17" s="176">
        <f t="shared" si="3"/>
        <v>61</v>
      </c>
      <c r="D17" s="177">
        <f t="shared" si="0"/>
        <v>0</v>
      </c>
      <c r="E17" s="175">
        <f t="shared" si="4"/>
        <v>0</v>
      </c>
      <c r="F17" s="175">
        <f t="shared" si="5"/>
        <v>0</v>
      </c>
      <c r="G17" s="175">
        <f t="shared" si="6"/>
        <v>0</v>
      </c>
      <c r="H17" s="175">
        <f t="shared" si="7"/>
        <v>0</v>
      </c>
      <c r="I17" s="175">
        <f t="shared" si="8"/>
        <v>0</v>
      </c>
      <c r="J17" s="189" t="s">
        <v>143</v>
      </c>
      <c r="K17" s="189" t="s">
        <v>143</v>
      </c>
      <c r="L17" s="175">
        <f t="shared" si="9"/>
        <v>0</v>
      </c>
      <c r="M17" s="175">
        <f t="shared" si="10"/>
        <v>0</v>
      </c>
      <c r="N17" s="178" t="b">
        <f t="shared" si="1"/>
        <v>1</v>
      </c>
    </row>
    <row r="18" spans="1:14" ht="15.6" thickTop="1" thickBot="1" x14ac:dyDescent="0.35">
      <c r="A18" s="174">
        <f t="shared" si="2"/>
        <v>46188</v>
      </c>
      <c r="B18" s="175">
        <f>'15'!$I$84</f>
        <v>0</v>
      </c>
      <c r="C18" s="176">
        <f t="shared" si="3"/>
        <v>61</v>
      </c>
      <c r="D18" s="177">
        <f t="shared" si="0"/>
        <v>0</v>
      </c>
      <c r="E18" s="175">
        <f t="shared" si="4"/>
        <v>0</v>
      </c>
      <c r="F18" s="175">
        <f t="shared" si="5"/>
        <v>0</v>
      </c>
      <c r="G18" s="175">
        <f t="shared" si="6"/>
        <v>0</v>
      </c>
      <c r="H18" s="175">
        <f t="shared" si="7"/>
        <v>0</v>
      </c>
      <c r="I18" s="175">
        <f t="shared" si="8"/>
        <v>0</v>
      </c>
      <c r="J18" s="189" t="s">
        <v>143</v>
      </c>
      <c r="K18" s="189" t="s">
        <v>143</v>
      </c>
      <c r="L18" s="175">
        <f t="shared" si="9"/>
        <v>0</v>
      </c>
      <c r="M18" s="175">
        <f t="shared" si="10"/>
        <v>0</v>
      </c>
      <c r="N18" s="178" t="b">
        <f t="shared" si="1"/>
        <v>1</v>
      </c>
    </row>
    <row r="19" spans="1:14" ht="15.6" thickTop="1" thickBot="1" x14ac:dyDescent="0.35">
      <c r="A19" s="174">
        <f t="shared" si="2"/>
        <v>46189</v>
      </c>
      <c r="B19" s="175">
        <f>'16'!$I$84</f>
        <v>0</v>
      </c>
      <c r="C19" s="176">
        <f>C18</f>
        <v>61</v>
      </c>
      <c r="D19" s="177">
        <f t="shared" si="0"/>
        <v>0</v>
      </c>
      <c r="E19" s="175">
        <f t="shared" si="4"/>
        <v>0</v>
      </c>
      <c r="F19" s="175">
        <f t="shared" si="5"/>
        <v>0</v>
      </c>
      <c r="G19" s="175">
        <f t="shared" si="6"/>
        <v>0</v>
      </c>
      <c r="H19" s="175">
        <f t="shared" si="7"/>
        <v>0</v>
      </c>
      <c r="I19" s="175">
        <f t="shared" si="8"/>
        <v>0</v>
      </c>
      <c r="J19" s="189" t="s">
        <v>143</v>
      </c>
      <c r="K19" s="189" t="s">
        <v>143</v>
      </c>
      <c r="L19" s="175">
        <f t="shared" si="9"/>
        <v>0</v>
      </c>
      <c r="M19" s="175">
        <f t="shared" si="10"/>
        <v>0</v>
      </c>
      <c r="N19" s="178" t="b">
        <f t="shared" si="1"/>
        <v>1</v>
      </c>
    </row>
    <row r="20" spans="1:14" ht="15.6" thickTop="1" thickBot="1" x14ac:dyDescent="0.35">
      <c r="A20" s="174">
        <f t="shared" si="2"/>
        <v>46190</v>
      </c>
      <c r="B20" s="175">
        <f>'17'!$I$84</f>
        <v>0</v>
      </c>
      <c r="C20" s="176">
        <v>61</v>
      </c>
      <c r="D20" s="177">
        <f t="shared" si="0"/>
        <v>0</v>
      </c>
      <c r="E20" s="175">
        <f t="shared" si="4"/>
        <v>0</v>
      </c>
      <c r="F20" s="175">
        <f t="shared" si="5"/>
        <v>0</v>
      </c>
      <c r="G20" s="175">
        <f t="shared" si="6"/>
        <v>0</v>
      </c>
      <c r="H20" s="175">
        <f t="shared" si="7"/>
        <v>0</v>
      </c>
      <c r="I20" s="175">
        <f t="shared" si="8"/>
        <v>0</v>
      </c>
      <c r="J20" s="189" t="s">
        <v>143</v>
      </c>
      <c r="K20" s="189" t="s">
        <v>143</v>
      </c>
      <c r="L20" s="175">
        <f t="shared" si="9"/>
        <v>0</v>
      </c>
      <c r="M20" s="175">
        <f t="shared" si="10"/>
        <v>0</v>
      </c>
      <c r="N20" s="178" t="b">
        <f t="shared" si="1"/>
        <v>1</v>
      </c>
    </row>
    <row r="21" spans="1:14" ht="15.6" thickTop="1" thickBot="1" x14ac:dyDescent="0.35">
      <c r="A21" s="174">
        <f t="shared" si="2"/>
        <v>46191</v>
      </c>
      <c r="B21" s="175">
        <f>'18'!$I$84</f>
        <v>0</v>
      </c>
      <c r="C21" s="176">
        <f t="shared" si="3"/>
        <v>61</v>
      </c>
      <c r="D21" s="177">
        <f t="shared" si="0"/>
        <v>0</v>
      </c>
      <c r="E21" s="175">
        <f t="shared" si="4"/>
        <v>0</v>
      </c>
      <c r="F21" s="175">
        <f t="shared" si="5"/>
        <v>0</v>
      </c>
      <c r="G21" s="175">
        <f t="shared" si="6"/>
        <v>0</v>
      </c>
      <c r="H21" s="175">
        <f t="shared" si="7"/>
        <v>0</v>
      </c>
      <c r="I21" s="175">
        <f t="shared" si="8"/>
        <v>0</v>
      </c>
      <c r="J21" s="189" t="s">
        <v>143</v>
      </c>
      <c r="K21" s="189" t="s">
        <v>143</v>
      </c>
      <c r="L21" s="175">
        <f t="shared" si="9"/>
        <v>0</v>
      </c>
      <c r="M21" s="175">
        <f t="shared" si="10"/>
        <v>0</v>
      </c>
      <c r="N21" s="178" t="b">
        <f t="shared" si="1"/>
        <v>1</v>
      </c>
    </row>
    <row r="22" spans="1:14" ht="15.6" thickTop="1" thickBot="1" x14ac:dyDescent="0.35">
      <c r="A22" s="174">
        <f t="shared" si="2"/>
        <v>46192</v>
      </c>
      <c r="B22" s="175">
        <f>'19'!$I$84</f>
        <v>0</v>
      </c>
      <c r="C22" s="176">
        <f t="shared" si="3"/>
        <v>61</v>
      </c>
      <c r="D22" s="177">
        <f t="shared" si="0"/>
        <v>0</v>
      </c>
      <c r="E22" s="175">
        <f t="shared" si="4"/>
        <v>0</v>
      </c>
      <c r="F22" s="175">
        <f t="shared" si="5"/>
        <v>0</v>
      </c>
      <c r="G22" s="175">
        <f t="shared" si="6"/>
        <v>0</v>
      </c>
      <c r="H22" s="175">
        <f t="shared" si="7"/>
        <v>0</v>
      </c>
      <c r="I22" s="175">
        <f t="shared" si="8"/>
        <v>0</v>
      </c>
      <c r="J22" s="189" t="s">
        <v>143</v>
      </c>
      <c r="K22" s="189" t="s">
        <v>143</v>
      </c>
      <c r="L22" s="175">
        <f t="shared" si="9"/>
        <v>0</v>
      </c>
      <c r="M22" s="175">
        <f t="shared" si="10"/>
        <v>0</v>
      </c>
      <c r="N22" s="178" t="b">
        <f t="shared" si="1"/>
        <v>1</v>
      </c>
    </row>
    <row r="23" spans="1:14" ht="15.6" thickTop="1" thickBot="1" x14ac:dyDescent="0.35">
      <c r="A23" s="174">
        <f t="shared" si="2"/>
        <v>46193</v>
      </c>
      <c r="B23" s="175">
        <f>'20'!$I$84</f>
        <v>0</v>
      </c>
      <c r="C23" s="176">
        <f t="shared" si="3"/>
        <v>61</v>
      </c>
      <c r="D23" s="177">
        <f t="shared" si="0"/>
        <v>0</v>
      </c>
      <c r="E23" s="175">
        <f t="shared" si="4"/>
        <v>0</v>
      </c>
      <c r="F23" s="175">
        <f t="shared" si="5"/>
        <v>0</v>
      </c>
      <c r="G23" s="175">
        <f t="shared" si="6"/>
        <v>0</v>
      </c>
      <c r="H23" s="175">
        <f t="shared" si="7"/>
        <v>0</v>
      </c>
      <c r="I23" s="175">
        <f t="shared" si="8"/>
        <v>0</v>
      </c>
      <c r="J23" s="189" t="s">
        <v>143</v>
      </c>
      <c r="K23" s="189" t="s">
        <v>143</v>
      </c>
      <c r="L23" s="175">
        <f t="shared" si="9"/>
        <v>0</v>
      </c>
      <c r="M23" s="175">
        <f t="shared" si="10"/>
        <v>0</v>
      </c>
      <c r="N23" s="178" t="b">
        <f t="shared" si="1"/>
        <v>1</v>
      </c>
    </row>
    <row r="24" spans="1:14" ht="15.6" thickTop="1" thickBot="1" x14ac:dyDescent="0.35">
      <c r="A24" s="174">
        <f t="shared" si="2"/>
        <v>46194</v>
      </c>
      <c r="B24" s="175">
        <f>'21'!$I$84</f>
        <v>0</v>
      </c>
      <c r="C24" s="176">
        <f t="shared" si="3"/>
        <v>61</v>
      </c>
      <c r="D24" s="177">
        <f t="shared" si="0"/>
        <v>0</v>
      </c>
      <c r="E24" s="175">
        <f t="shared" si="4"/>
        <v>0</v>
      </c>
      <c r="F24" s="175">
        <f t="shared" si="5"/>
        <v>0</v>
      </c>
      <c r="G24" s="175">
        <f t="shared" si="6"/>
        <v>0</v>
      </c>
      <c r="H24" s="175">
        <f t="shared" si="7"/>
        <v>0</v>
      </c>
      <c r="I24" s="175">
        <f t="shared" si="8"/>
        <v>0</v>
      </c>
      <c r="J24" s="189" t="s">
        <v>143</v>
      </c>
      <c r="K24" s="189" t="s">
        <v>143</v>
      </c>
      <c r="L24" s="175">
        <f t="shared" si="9"/>
        <v>0</v>
      </c>
      <c r="M24" s="175">
        <f t="shared" si="10"/>
        <v>0</v>
      </c>
      <c r="N24" s="178" t="b">
        <f t="shared" si="1"/>
        <v>1</v>
      </c>
    </row>
    <row r="25" spans="1:14" ht="15.6" thickTop="1" thickBot="1" x14ac:dyDescent="0.35">
      <c r="A25" s="174">
        <f t="shared" si="2"/>
        <v>46195</v>
      </c>
      <c r="B25" s="175">
        <f>'22'!$I$84</f>
        <v>0</v>
      </c>
      <c r="C25" s="176">
        <f t="shared" si="3"/>
        <v>61</v>
      </c>
      <c r="D25" s="177">
        <f t="shared" si="0"/>
        <v>0</v>
      </c>
      <c r="E25" s="175">
        <f t="shared" si="4"/>
        <v>0</v>
      </c>
      <c r="F25" s="175">
        <f t="shared" si="5"/>
        <v>0</v>
      </c>
      <c r="G25" s="175">
        <f t="shared" si="6"/>
        <v>0</v>
      </c>
      <c r="H25" s="175">
        <f t="shared" si="7"/>
        <v>0</v>
      </c>
      <c r="I25" s="175">
        <f t="shared" si="8"/>
        <v>0</v>
      </c>
      <c r="J25" s="189" t="s">
        <v>143</v>
      </c>
      <c r="K25" s="189" t="s">
        <v>143</v>
      </c>
      <c r="L25" s="175">
        <f t="shared" si="9"/>
        <v>0</v>
      </c>
      <c r="M25" s="175">
        <f t="shared" si="10"/>
        <v>0</v>
      </c>
      <c r="N25" s="178" t="b">
        <f t="shared" si="1"/>
        <v>1</v>
      </c>
    </row>
    <row r="26" spans="1:14" ht="15.6" thickTop="1" thickBot="1" x14ac:dyDescent="0.35">
      <c r="A26" s="174">
        <f t="shared" si="2"/>
        <v>46196</v>
      </c>
      <c r="B26" s="175">
        <f>'23'!$I$84</f>
        <v>0</v>
      </c>
      <c r="C26" s="176">
        <f t="shared" si="3"/>
        <v>61</v>
      </c>
      <c r="D26" s="177">
        <f t="shared" si="0"/>
        <v>0</v>
      </c>
      <c r="E26" s="175">
        <f t="shared" si="4"/>
        <v>0</v>
      </c>
      <c r="F26" s="175">
        <f t="shared" si="5"/>
        <v>0</v>
      </c>
      <c r="G26" s="175">
        <f t="shared" si="6"/>
        <v>0</v>
      </c>
      <c r="H26" s="175">
        <f t="shared" si="7"/>
        <v>0</v>
      </c>
      <c r="I26" s="175">
        <f t="shared" si="8"/>
        <v>0</v>
      </c>
      <c r="J26" s="189" t="s">
        <v>143</v>
      </c>
      <c r="K26" s="189" t="s">
        <v>143</v>
      </c>
      <c r="L26" s="175">
        <f t="shared" si="9"/>
        <v>0</v>
      </c>
      <c r="M26" s="175">
        <f t="shared" si="10"/>
        <v>0</v>
      </c>
      <c r="N26" s="178" t="b">
        <f t="shared" si="1"/>
        <v>1</v>
      </c>
    </row>
    <row r="27" spans="1:14" ht="15.6" thickTop="1" thickBot="1" x14ac:dyDescent="0.35">
      <c r="A27" s="174">
        <f t="shared" si="2"/>
        <v>46197</v>
      </c>
      <c r="B27" s="175">
        <f>'24'!$I$84</f>
        <v>0</v>
      </c>
      <c r="C27" s="176">
        <f t="shared" si="3"/>
        <v>61</v>
      </c>
      <c r="D27" s="177">
        <f t="shared" si="0"/>
        <v>0</v>
      </c>
      <c r="E27" s="175">
        <f t="shared" si="4"/>
        <v>0</v>
      </c>
      <c r="F27" s="175">
        <f t="shared" si="5"/>
        <v>0</v>
      </c>
      <c r="G27" s="175">
        <f t="shared" si="6"/>
        <v>0</v>
      </c>
      <c r="H27" s="175">
        <f t="shared" si="7"/>
        <v>0</v>
      </c>
      <c r="I27" s="175">
        <f t="shared" si="8"/>
        <v>0</v>
      </c>
      <c r="J27" s="189" t="s">
        <v>143</v>
      </c>
      <c r="K27" s="189" t="s">
        <v>143</v>
      </c>
      <c r="L27" s="175">
        <f t="shared" si="9"/>
        <v>0</v>
      </c>
      <c r="M27" s="175">
        <f t="shared" si="10"/>
        <v>0</v>
      </c>
      <c r="N27" s="178" t="b">
        <f t="shared" si="1"/>
        <v>1</v>
      </c>
    </row>
    <row r="28" spans="1:14" ht="15.6" thickTop="1" thickBot="1" x14ac:dyDescent="0.35">
      <c r="A28" s="174">
        <f t="shared" si="2"/>
        <v>46198</v>
      </c>
      <c r="B28" s="175">
        <f>'25'!$I$84</f>
        <v>0</v>
      </c>
      <c r="C28" s="176">
        <f t="shared" si="3"/>
        <v>61</v>
      </c>
      <c r="D28" s="177">
        <f t="shared" si="0"/>
        <v>0</v>
      </c>
      <c r="E28" s="175">
        <f t="shared" si="4"/>
        <v>0</v>
      </c>
      <c r="F28" s="175">
        <f t="shared" si="5"/>
        <v>0</v>
      </c>
      <c r="G28" s="175">
        <f t="shared" si="6"/>
        <v>0</v>
      </c>
      <c r="H28" s="175">
        <f t="shared" si="7"/>
        <v>0</v>
      </c>
      <c r="I28" s="175">
        <f t="shared" si="8"/>
        <v>0</v>
      </c>
      <c r="J28" s="189" t="s">
        <v>143</v>
      </c>
      <c r="K28" s="189" t="s">
        <v>143</v>
      </c>
      <c r="L28" s="175">
        <f t="shared" si="9"/>
        <v>0</v>
      </c>
      <c r="M28" s="175">
        <f t="shared" si="10"/>
        <v>0</v>
      </c>
      <c r="N28" s="178" t="b">
        <f t="shared" si="1"/>
        <v>1</v>
      </c>
    </row>
    <row r="29" spans="1:14" ht="15.6" thickTop="1" thickBot="1" x14ac:dyDescent="0.35">
      <c r="A29" s="174">
        <f t="shared" si="2"/>
        <v>46199</v>
      </c>
      <c r="B29" s="175">
        <f>'26'!$I$84</f>
        <v>0</v>
      </c>
      <c r="C29" s="176">
        <f t="shared" si="3"/>
        <v>61</v>
      </c>
      <c r="D29" s="177">
        <f t="shared" si="0"/>
        <v>0</v>
      </c>
      <c r="E29" s="175">
        <f t="shared" si="4"/>
        <v>0</v>
      </c>
      <c r="F29" s="175">
        <f t="shared" si="5"/>
        <v>0</v>
      </c>
      <c r="G29" s="175">
        <f t="shared" si="6"/>
        <v>0</v>
      </c>
      <c r="H29" s="175">
        <f t="shared" si="7"/>
        <v>0</v>
      </c>
      <c r="I29" s="175">
        <f t="shared" si="8"/>
        <v>0</v>
      </c>
      <c r="J29" s="189" t="s">
        <v>143</v>
      </c>
      <c r="K29" s="189" t="s">
        <v>143</v>
      </c>
      <c r="L29" s="175">
        <f t="shared" si="9"/>
        <v>0</v>
      </c>
      <c r="M29" s="175">
        <f t="shared" si="10"/>
        <v>0</v>
      </c>
      <c r="N29" s="178" t="b">
        <f t="shared" si="1"/>
        <v>1</v>
      </c>
    </row>
    <row r="30" spans="1:14" ht="15.6" thickTop="1" thickBot="1" x14ac:dyDescent="0.35">
      <c r="A30" s="174">
        <f t="shared" si="2"/>
        <v>46200</v>
      </c>
      <c r="B30" s="175">
        <f>'27'!$I$84</f>
        <v>0</v>
      </c>
      <c r="C30" s="176">
        <f t="shared" si="3"/>
        <v>61</v>
      </c>
      <c r="D30" s="177">
        <f t="shared" si="0"/>
        <v>0</v>
      </c>
      <c r="E30" s="175">
        <f t="shared" si="4"/>
        <v>0</v>
      </c>
      <c r="F30" s="175">
        <f t="shared" si="5"/>
        <v>0</v>
      </c>
      <c r="G30" s="175">
        <f t="shared" si="6"/>
        <v>0</v>
      </c>
      <c r="H30" s="175">
        <f t="shared" si="7"/>
        <v>0</v>
      </c>
      <c r="I30" s="175">
        <f t="shared" si="8"/>
        <v>0</v>
      </c>
      <c r="J30" s="189" t="s">
        <v>143</v>
      </c>
      <c r="K30" s="189" t="s">
        <v>143</v>
      </c>
      <c r="L30" s="175">
        <f t="shared" si="9"/>
        <v>0</v>
      </c>
      <c r="M30" s="175">
        <f t="shared" si="10"/>
        <v>0</v>
      </c>
      <c r="N30" s="178" t="b">
        <f t="shared" si="1"/>
        <v>1</v>
      </c>
    </row>
    <row r="31" spans="1:14" ht="15.6" thickTop="1" thickBot="1" x14ac:dyDescent="0.35">
      <c r="A31" s="174">
        <f t="shared" si="2"/>
        <v>46201</v>
      </c>
      <c r="B31" s="175">
        <f>'28'!$I$84</f>
        <v>0</v>
      </c>
      <c r="C31" s="176">
        <f t="shared" si="3"/>
        <v>61</v>
      </c>
      <c r="D31" s="177">
        <f t="shared" si="0"/>
        <v>0</v>
      </c>
      <c r="E31" s="175">
        <f t="shared" si="4"/>
        <v>0</v>
      </c>
      <c r="F31" s="175">
        <f t="shared" si="5"/>
        <v>0</v>
      </c>
      <c r="G31" s="175">
        <f t="shared" si="6"/>
        <v>0</v>
      </c>
      <c r="H31" s="175">
        <f t="shared" si="7"/>
        <v>0</v>
      </c>
      <c r="I31" s="175">
        <f t="shared" si="8"/>
        <v>0</v>
      </c>
      <c r="J31" s="189" t="s">
        <v>143</v>
      </c>
      <c r="K31" s="189" t="s">
        <v>143</v>
      </c>
      <c r="L31" s="175">
        <f t="shared" si="9"/>
        <v>0</v>
      </c>
      <c r="M31" s="175">
        <f t="shared" si="10"/>
        <v>0</v>
      </c>
      <c r="N31" s="178" t="b">
        <f t="shared" si="1"/>
        <v>1</v>
      </c>
    </row>
    <row r="32" spans="1:14" ht="15.6" thickTop="1" thickBot="1" x14ac:dyDescent="0.35">
      <c r="A32" s="174">
        <f t="shared" si="2"/>
        <v>46202</v>
      </c>
      <c r="B32" s="175">
        <f>'29'!$I$84</f>
        <v>0</v>
      </c>
      <c r="C32" s="176">
        <f t="shared" si="3"/>
        <v>61</v>
      </c>
      <c r="D32" s="177">
        <f t="shared" si="0"/>
        <v>0</v>
      </c>
      <c r="E32" s="175">
        <f t="shared" si="4"/>
        <v>0</v>
      </c>
      <c r="F32" s="175">
        <f t="shared" si="5"/>
        <v>0</v>
      </c>
      <c r="G32" s="175">
        <f t="shared" si="6"/>
        <v>0</v>
      </c>
      <c r="H32" s="175">
        <f t="shared" si="7"/>
        <v>0</v>
      </c>
      <c r="I32" s="175">
        <f t="shared" si="8"/>
        <v>0</v>
      </c>
      <c r="J32" s="189" t="s">
        <v>143</v>
      </c>
      <c r="K32" s="189" t="s">
        <v>143</v>
      </c>
      <c r="L32" s="175">
        <f t="shared" si="9"/>
        <v>0</v>
      </c>
      <c r="M32" s="175">
        <f t="shared" si="10"/>
        <v>0</v>
      </c>
      <c r="N32" s="178" t="b">
        <f t="shared" si="1"/>
        <v>1</v>
      </c>
    </row>
    <row r="33" spans="1:14" ht="15.6" thickTop="1" thickBot="1" x14ac:dyDescent="0.35">
      <c r="A33" s="174">
        <f t="shared" si="2"/>
        <v>46203</v>
      </c>
      <c r="B33" s="175">
        <f>'30'!$I$84</f>
        <v>0</v>
      </c>
      <c r="C33" s="176">
        <f t="shared" si="3"/>
        <v>61</v>
      </c>
      <c r="D33" s="177">
        <f t="shared" si="0"/>
        <v>0</v>
      </c>
      <c r="E33" s="175">
        <f t="shared" si="4"/>
        <v>0</v>
      </c>
      <c r="F33" s="175">
        <f t="shared" si="5"/>
        <v>0</v>
      </c>
      <c r="G33" s="175">
        <f t="shared" si="6"/>
        <v>0</v>
      </c>
      <c r="H33" s="175">
        <f t="shared" si="7"/>
        <v>0</v>
      </c>
      <c r="I33" s="175">
        <f t="shared" si="8"/>
        <v>0</v>
      </c>
      <c r="J33" s="189" t="s">
        <v>143</v>
      </c>
      <c r="K33" s="189" t="s">
        <v>143</v>
      </c>
      <c r="L33" s="175">
        <f t="shared" si="9"/>
        <v>0</v>
      </c>
      <c r="M33" s="175">
        <f t="shared" si="10"/>
        <v>0</v>
      </c>
      <c r="N33" s="178" t="b">
        <f t="shared" si="1"/>
        <v>1</v>
      </c>
    </row>
    <row r="34" spans="1:14" ht="15.6" thickTop="1" thickBot="1" x14ac:dyDescent="0.35">
      <c r="A34" s="179">
        <f t="shared" si="2"/>
        <v>46204</v>
      </c>
      <c r="B34" s="180">
        <f>'31'!$I$84</f>
        <v>0</v>
      </c>
      <c r="C34" s="181">
        <f t="shared" si="3"/>
        <v>61</v>
      </c>
      <c r="D34" s="182">
        <f t="shared" si="0"/>
        <v>0</v>
      </c>
      <c r="E34" s="180">
        <f t="shared" si="4"/>
        <v>0</v>
      </c>
      <c r="F34" s="180">
        <f t="shared" si="5"/>
        <v>0</v>
      </c>
      <c r="G34" s="180">
        <f t="shared" si="6"/>
        <v>0</v>
      </c>
      <c r="H34" s="180">
        <f t="shared" si="7"/>
        <v>0</v>
      </c>
      <c r="I34" s="180">
        <f t="shared" si="8"/>
        <v>0</v>
      </c>
      <c r="J34" s="190" t="s">
        <v>143</v>
      </c>
      <c r="K34" s="190" t="s">
        <v>143</v>
      </c>
      <c r="L34" s="180">
        <f t="shared" si="9"/>
        <v>0</v>
      </c>
      <c r="M34" s="180">
        <f t="shared" si="10"/>
        <v>0</v>
      </c>
      <c r="N34" s="183" t="b">
        <f t="shared" si="1"/>
        <v>1</v>
      </c>
    </row>
    <row r="35" spans="1:14" ht="15.6" thickTop="1" thickBot="1" x14ac:dyDescent="0.35">
      <c r="A35" s="60" t="s">
        <v>20</v>
      </c>
      <c r="B35" s="61">
        <f>SUM(B4:B34)</f>
        <v>0</v>
      </c>
      <c r="C35" s="184"/>
      <c r="D35" s="116"/>
      <c r="E35" s="61">
        <f t="shared" ref="E35:L35" si="11">SUM(E4:E34)</f>
        <v>0</v>
      </c>
      <c r="F35" s="61">
        <f t="shared" si="11"/>
        <v>0</v>
      </c>
      <c r="G35" s="61">
        <f t="shared" si="11"/>
        <v>0</v>
      </c>
      <c r="H35" s="61">
        <f t="shared" si="11"/>
        <v>0</v>
      </c>
      <c r="I35" s="61">
        <f t="shared" si="11"/>
        <v>0</v>
      </c>
      <c r="J35" s="61">
        <f t="shared" si="11"/>
        <v>0</v>
      </c>
      <c r="K35" s="61">
        <f t="shared" si="11"/>
        <v>0</v>
      </c>
      <c r="L35" s="61">
        <f t="shared" si="11"/>
        <v>0</v>
      </c>
      <c r="M35" s="61">
        <f>SUM(M4:M34)</f>
        <v>0</v>
      </c>
      <c r="N35" s="60" t="b">
        <f t="shared" si="1"/>
        <v>1</v>
      </c>
    </row>
    <row r="36" spans="1:14" ht="15" thickTop="1" x14ac:dyDescent="0.3"/>
    <row r="37" spans="1:14" x14ac:dyDescent="0.3">
      <c r="M37" s="6"/>
    </row>
  </sheetData>
  <mergeCells count="6">
    <mergeCell ref="N2:N3"/>
    <mergeCell ref="A1:M1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36</vt:i4>
      </vt:variant>
      <vt:variant>
        <vt:lpstr>Adlandırılmış Aralıklar</vt:lpstr>
      </vt:variant>
      <vt:variant>
        <vt:i4>4</vt:i4>
      </vt:variant>
    </vt:vector>
  </HeadingPairs>
  <TitlesOfParts>
    <vt:vector size="40" baseType="lpstr">
      <vt:lpstr>ÖRNEK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GN TOPLAM</vt:lpstr>
      <vt:lpstr>KASA NAKİT ÇIKIŞLARI</vt:lpstr>
      <vt:lpstr>ORGANİZASYON BAZLI DEĞERLENDİRM</vt:lpstr>
      <vt:lpstr>SERVİS HAKEDİŞ TABLOSU</vt:lpstr>
      <vt:lpstr>'18'!Yazdırma_Alanı</vt:lpstr>
      <vt:lpstr>'20'!Yazdırma_Alanı</vt:lpstr>
      <vt:lpstr>'GN TOPLAM'!Yazdırma_Alanı</vt:lpstr>
      <vt:lpstr>ÖRNEK!Yazdırma_Alanı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2026-06-06T00:03:24Z</dcterms:modified>
</cp:coreProperties>
</file>